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uestos" sheetId="1" state="visible" r:id="rId1"/>
    <sheet name="Modelo" sheetId="2" state="visible" r:id="rId2"/>
  </sheets>
  <definedNames>
    <definedName name="scen">Supuestos!$B$2</definedName>
    <definedName name="iva">Supuestos!$B$3</definedName>
    <definedName name="pay_pct">Supuestos!$B$4</definedName>
    <definedName name="pay_fix">Supuestos!$B$5</definedName>
    <definedName name="ship">Supuestos!$B$6</definedName>
    <definedName name="pack">Supuestos!$B$7</definedName>
    <definedName name="ship_charge">Supuestos!$B$8</definedName>
    <definedName name="free_from">Supuestos!$B$9</definedName>
    <definedName name="ret">Supuestos!$B$10</definedName>
    <definedName name="c_nose">Supuestos!$B$11</definedName>
    <definedName name="c_spot">Supuestos!$B$12</definedName>
    <definedName name="r_nose">Supuestos!$B$13</definedName>
    <definedName name="r_spot">Supuestos!$B$14</definedName>
    <definedName name="land">Supuestos!$B$15</definedName>
    <definedName name="fixed">Supuestos!$B$16</definedName>
    <definedName name="spend0">Supuestos!$B$17</definedName>
    <definedName name="cash0">Supuestos!$B$18</definedName>
    <definedName name="st_n0">Supuestos!$B$19</definedName>
    <definedName name="st_s0">Supuestos!$B$20</definedName>
    <definedName name="aport">Supuestos!$B$21</definedName>
    <definedName name="aport_lim">Supuestos!$B$22</definedName>
    <definedName name="reinv">Supuestos!$B$23</definedName>
    <definedName name="cap1">Supuestos!$B$24</definedName>
    <definedName name="cap2">Supuestos!$B$25</definedName>
    <definedName name="cpm1">Supuestos!$B$26</definedName>
    <definedName name="cpm2">Supuestos!$B$27</definedName>
    <definedName name="cpm3">Supuestos!$B$28</definedName>
    <definedName name="ctr1">Supuestos!$B$29</definedName>
    <definedName name="ctr2">Supuestos!$B$30</definedName>
    <definedName name="ctr3">Supuestos!$B$31</definedName>
    <definedName name="rep1">Supuestos!$B$32</definedName>
    <definedName name="rep2">Supuestos!$B$33</definedName>
    <definedName name="rep3">Supuestos!$B$34</definedName>
    <definedName name="lead1">Supuestos!$B$35</definedName>
    <definedName name="lead2">Supuestos!$B$36</definedName>
    <definedName name="lead3">Supuestos!$B$37</definedName>
    <definedName name="lcv1">Supuestos!$B$38</definedName>
    <definedName name="lcv2">Supuestos!$B$39</definedName>
    <definedName name="lcv3">Supuestos!$B$40</definedName>
    <definedName name="aov">Supuestos!$G$63</definedName>
    <definedName name="net_avg">Supuestos!$H$63</definedName>
    <definedName name="pay_avg">Supuestos!$I$63</definedName>
    <definedName name="nose_per">Supuestos!$D$63</definedName>
    <definedName name="spot_per">Supuestos!$E$63</definedName>
    <definedName name="contrib_avg">Supuestos!$J$63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1F4E9E"/>
    </font>
    <font>
      <b val="1"/>
    </font>
  </fonts>
  <fills count="3">
    <fill>
      <patternFill/>
    </fill>
    <fill>
      <patternFill patternType="gray125"/>
    </fill>
    <fill>
      <patternFill patternType="solid">
        <fgColor rgb="00F3E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t="inlineStr">
        <is>
          <t>Parámetro</t>
        </is>
      </c>
      <c r="B1" t="inlineStr">
        <is>
          <t>Valor</t>
        </is>
      </c>
      <c r="C1" t="inlineStr">
        <is>
          <t>Nombre</t>
        </is>
      </c>
    </row>
    <row r="2">
      <c r="A2" t="inlineStr">
        <is>
          <t>Escenario (1=Pesimista, 2=Base, 3=Optimista)</t>
        </is>
      </c>
      <c r="B2" s="1" t="n">
        <v>2</v>
      </c>
      <c r="C2" t="inlineStr">
        <is>
          <t>scen</t>
        </is>
      </c>
    </row>
    <row r="3">
      <c r="A3" t="inlineStr">
        <is>
          <t>IVA</t>
        </is>
      </c>
      <c r="B3" s="1" t="n">
        <v>0.21</v>
      </c>
      <c r="C3" t="inlineStr">
        <is>
          <t>iva</t>
        </is>
      </c>
    </row>
    <row r="4">
      <c r="A4" t="inlineStr">
        <is>
          <t>Stripe %</t>
        </is>
      </c>
      <c r="B4" s="1" t="n">
        <v>0.015</v>
      </c>
      <c r="C4" t="inlineStr">
        <is>
          <t>pay_pct</t>
        </is>
      </c>
    </row>
    <row r="5">
      <c r="A5" t="inlineStr">
        <is>
          <t>Stripe fijo €</t>
        </is>
      </c>
      <c r="B5" s="1" t="n">
        <v>0.25</v>
      </c>
      <c r="C5" t="inlineStr">
        <is>
          <t>pay_fix</t>
        </is>
      </c>
    </row>
    <row r="6">
      <c r="A6" t="inlineStr">
        <is>
          <t>Etiqueta envío neto €</t>
        </is>
      </c>
      <c r="B6" s="1" t="n">
        <v>3.223140495867769</v>
      </c>
      <c r="C6" t="inlineStr">
        <is>
          <t>ship</t>
        </is>
      </c>
    </row>
    <row r="7">
      <c r="A7" t="inlineStr">
        <is>
          <t>Sobre neto €</t>
        </is>
      </c>
      <c r="B7" s="1" t="n">
        <v>0.2892561983471074</v>
      </c>
      <c r="C7" t="inlineStr">
        <is>
          <t>pack</t>
        </is>
      </c>
    </row>
    <row r="8">
      <c r="A8" t="inlineStr">
        <is>
          <t>Envío cobrado al cliente €</t>
        </is>
      </c>
      <c r="B8" s="1" t="n">
        <v>3.9</v>
      </c>
      <c r="C8" t="inlineStr">
        <is>
          <t>ship_charge</t>
        </is>
      </c>
    </row>
    <row r="9">
      <c r="A9" t="inlineStr">
        <is>
          <t>Envío gratis desde €</t>
        </is>
      </c>
      <c r="B9" s="1" t="n">
        <v>30</v>
      </c>
      <c r="C9" t="inlineStr">
        <is>
          <t>free_from</t>
        </is>
      </c>
    </row>
    <row r="10">
      <c r="A10" t="inlineStr">
        <is>
          <t>Devoluciones %</t>
        </is>
      </c>
      <c r="B10" s="1" t="n">
        <v>0.02</v>
      </c>
      <c r="C10" t="inlineStr">
        <is>
          <t>ret</t>
        </is>
      </c>
    </row>
    <row r="11">
      <c r="A11" t="inlineStr">
        <is>
          <t>Coste nariz piloto neto €</t>
        </is>
      </c>
      <c r="B11" s="1" t="n">
        <v>2.9</v>
      </c>
      <c r="C11" t="inlineStr">
        <is>
          <t>c_nose</t>
        </is>
      </c>
    </row>
    <row r="12">
      <c r="A12" t="inlineStr">
        <is>
          <t>Coste granos piloto neto €</t>
        </is>
      </c>
      <c r="B12" s="1" t="n">
        <v>1.6</v>
      </c>
      <c r="C12" t="inlineStr">
        <is>
          <t>c_spot</t>
        </is>
      </c>
    </row>
    <row r="13">
      <c r="A13" t="inlineStr">
        <is>
          <t>Coste nariz reposición neto €</t>
        </is>
      </c>
      <c r="B13" s="1" t="n">
        <v>2.07</v>
      </c>
      <c r="C13" t="inlineStr">
        <is>
          <t>r_nose</t>
        </is>
      </c>
    </row>
    <row r="14">
      <c r="A14" t="inlineStr">
        <is>
          <t>Coste granos reposición neto €</t>
        </is>
      </c>
      <c r="B14" s="1" t="n">
        <v>1.2</v>
      </c>
      <c r="C14" t="inlineStr">
        <is>
          <t>r_spot</t>
        </is>
      </c>
    </row>
    <row r="15">
      <c r="A15" t="inlineStr">
        <is>
          <t>Clics que cargan la ficha</t>
        </is>
      </c>
      <c r="B15" s="1" t="n">
        <v>0.85</v>
      </c>
      <c r="C15" t="inlineStr">
        <is>
          <t>land</t>
        </is>
      </c>
    </row>
    <row r="16">
      <c r="A16" t="inlineStr">
        <is>
          <t>Fijos €/mes</t>
        </is>
      </c>
      <c r="B16" s="1" t="n">
        <v>1</v>
      </c>
      <c r="C16" t="inlineStr">
        <is>
          <t>fixed</t>
        </is>
      </c>
    </row>
    <row r="17">
      <c r="A17" t="inlineStr">
        <is>
          <t>Anuncios mes 0 €</t>
        </is>
      </c>
      <c r="B17" s="1" t="n">
        <v>225</v>
      </c>
      <c r="C17" t="inlineStr">
        <is>
          <t>spend0</t>
        </is>
      </c>
    </row>
    <row r="18">
      <c r="A18" t="inlineStr">
        <is>
          <t>Caja inicial tras piloto €</t>
        </is>
      </c>
      <c r="B18" s="1" t="n">
        <v>400</v>
      </c>
      <c r="C18" t="inlineStr">
        <is>
          <t>cash0</t>
        </is>
      </c>
    </row>
    <row r="19">
      <c r="A19" t="inlineStr">
        <is>
          <t>Stock nariz inicial (cajas)</t>
        </is>
      </c>
      <c r="B19" s="1" t="n">
        <v>125</v>
      </c>
      <c r="C19" t="inlineStr">
        <is>
          <t>st_n0</t>
        </is>
      </c>
    </row>
    <row r="20">
      <c r="A20" t="inlineStr">
        <is>
          <t>Stock granos inicial (cajas)</t>
        </is>
      </c>
      <c r="B20" s="1" t="n">
        <v>40</v>
      </c>
      <c r="C20" t="inlineStr">
        <is>
          <t>st_s0</t>
        </is>
      </c>
    </row>
    <row r="21">
      <c r="A21" t="inlineStr">
        <is>
          <t>Aportación mensual €</t>
        </is>
      </c>
      <c r="B21" s="1" t="n">
        <v>500</v>
      </c>
      <c r="C21" t="inlineStr">
        <is>
          <t>aport</t>
        </is>
      </c>
    </row>
    <row r="22">
      <c r="A22" t="inlineStr">
        <is>
          <t>Umbral de resultado para dejar de aportar €</t>
        </is>
      </c>
      <c r="B22" s="1" t="n">
        <v>500</v>
      </c>
      <c r="C22" t="inlineStr">
        <is>
          <t>aport_lim</t>
        </is>
      </c>
    </row>
    <row r="23">
      <c r="A23" t="inlineStr">
        <is>
          <t>Reinversión de la contribución</t>
        </is>
      </c>
      <c r="B23" s="1" t="n">
        <v>0.5</v>
      </c>
      <c r="C23" t="inlineStr">
        <is>
          <t>reinv</t>
        </is>
      </c>
    </row>
    <row r="24">
      <c r="A24" t="inlineStr">
        <is>
          <t>Techo anuncios meses 1–5 €</t>
        </is>
      </c>
      <c r="B24" s="1" t="n">
        <v>1200</v>
      </c>
      <c r="C24" t="inlineStr">
        <is>
          <t>cap1</t>
        </is>
      </c>
    </row>
    <row r="25">
      <c r="A25" t="inlineStr">
        <is>
          <t>Techo anuncios meses 6–12 €</t>
        </is>
      </c>
      <c r="B25" s="1" t="n">
        <v>1500</v>
      </c>
      <c r="C25" t="inlineStr">
        <is>
          <t>cap2</t>
        </is>
      </c>
    </row>
    <row r="26">
      <c r="A26" t="inlineStr">
        <is>
          <t>CPM pesimista</t>
        </is>
      </c>
      <c r="B26" s="1" t="n">
        <v>9</v>
      </c>
      <c r="C26" t="inlineStr">
        <is>
          <t>cpm1</t>
        </is>
      </c>
    </row>
    <row r="27">
      <c r="A27" t="inlineStr">
        <is>
          <t>CPM base</t>
        </is>
      </c>
      <c r="B27" s="1" t="n">
        <v>8</v>
      </c>
      <c r="C27" t="inlineStr">
        <is>
          <t>cpm2</t>
        </is>
      </c>
    </row>
    <row r="28">
      <c r="A28" t="inlineStr">
        <is>
          <t>CPM optimista</t>
        </is>
      </c>
      <c r="B28" s="1" t="n">
        <v>7.5</v>
      </c>
      <c r="C28" t="inlineStr">
        <is>
          <t>cpm3</t>
        </is>
      </c>
    </row>
    <row r="29">
      <c r="A29" t="inlineStr">
        <is>
          <t>CTR pesimista</t>
        </is>
      </c>
      <c r="B29" s="1" t="n">
        <v>0.008</v>
      </c>
      <c r="C29" t="inlineStr">
        <is>
          <t>ctr1</t>
        </is>
      </c>
    </row>
    <row r="30">
      <c r="A30" t="inlineStr">
        <is>
          <t>CTR base</t>
        </is>
      </c>
      <c r="B30" s="1" t="n">
        <v>0.01</v>
      </c>
      <c r="C30" t="inlineStr">
        <is>
          <t>ctr2</t>
        </is>
      </c>
    </row>
    <row r="31">
      <c r="A31" t="inlineStr">
        <is>
          <t>CTR optimista</t>
        </is>
      </c>
      <c r="B31" s="1" t="n">
        <v>0.015</v>
      </c>
      <c r="C31" t="inlineStr">
        <is>
          <t>ctr3</t>
        </is>
      </c>
    </row>
    <row r="32">
      <c r="A32" t="inlineStr">
        <is>
          <t>Recompra 60 d pesimista</t>
        </is>
      </c>
      <c r="B32" s="1" t="n">
        <v>0.08</v>
      </c>
      <c r="C32" t="inlineStr">
        <is>
          <t>rep1</t>
        </is>
      </c>
    </row>
    <row r="33">
      <c r="A33" t="inlineStr">
        <is>
          <t>Recompra 60 d base</t>
        </is>
      </c>
      <c r="B33" s="1" t="n">
        <v>0.12</v>
      </c>
      <c r="C33" t="inlineStr">
        <is>
          <t>rep2</t>
        </is>
      </c>
    </row>
    <row r="34">
      <c r="A34" t="inlineStr">
        <is>
          <t>Recompra 60 d optimista</t>
        </is>
      </c>
      <c r="B34" s="1" t="n">
        <v>0.18</v>
      </c>
      <c r="C34" t="inlineStr">
        <is>
          <t>rep3</t>
        </is>
      </c>
    </row>
    <row r="35">
      <c r="A35" t="inlineStr">
        <is>
          <t>Leads popup pesimista</t>
        </is>
      </c>
      <c r="B35" s="1" t="n">
        <v>0.04</v>
      </c>
      <c r="C35" t="inlineStr">
        <is>
          <t>lead1</t>
        </is>
      </c>
    </row>
    <row r="36">
      <c r="A36" t="inlineStr">
        <is>
          <t>Leads popup base</t>
        </is>
      </c>
      <c r="B36" s="1" t="n">
        <v>0.05</v>
      </c>
      <c r="C36" t="inlineStr">
        <is>
          <t>lead2</t>
        </is>
      </c>
    </row>
    <row r="37">
      <c r="A37" t="inlineStr">
        <is>
          <t>Leads popup optimista</t>
        </is>
      </c>
      <c r="B37" s="1" t="n">
        <v>0.06</v>
      </c>
      <c r="C37" t="inlineStr">
        <is>
          <t>lead3</t>
        </is>
      </c>
    </row>
    <row r="38">
      <c r="A38" t="inlineStr">
        <is>
          <t>Conversión leads pesimista</t>
        </is>
      </c>
      <c r="B38" s="1" t="n">
        <v>0.02</v>
      </c>
      <c r="C38" t="inlineStr">
        <is>
          <t>lcv1</t>
        </is>
      </c>
    </row>
    <row r="39">
      <c r="A39" t="inlineStr">
        <is>
          <t>Conversión leads base</t>
        </is>
      </c>
      <c r="B39" s="1" t="n">
        <v>0.03</v>
      </c>
      <c r="C39" t="inlineStr">
        <is>
          <t>lcv2</t>
        </is>
      </c>
    </row>
    <row r="40">
      <c r="A40" t="inlineStr">
        <is>
          <t>Conversión leads optimista</t>
        </is>
      </c>
      <c r="B40" s="1" t="n">
        <v>0.04</v>
      </c>
      <c r="C40" t="inlineStr">
        <is>
          <t>lcv3</t>
        </is>
      </c>
    </row>
    <row r="42">
      <c r="A42" t="inlineStr">
        <is>
          <t>Mes</t>
        </is>
      </c>
      <c r="B42" t="inlineStr">
        <is>
          <t>CVR pesimista</t>
        </is>
      </c>
      <c r="C42" t="inlineStr">
        <is>
          <t>CVR base</t>
        </is>
      </c>
      <c r="D42" t="inlineStr">
        <is>
          <t>CVR optimista</t>
        </is>
      </c>
    </row>
    <row r="43">
      <c r="A43" t="n">
        <v>0</v>
      </c>
      <c r="B43" s="1" t="n">
        <v>0.012</v>
      </c>
      <c r="C43" s="1" t="n">
        <v>0.018</v>
      </c>
      <c r="D43" s="1" t="n">
        <v>0.022</v>
      </c>
    </row>
    <row r="44">
      <c r="A44" t="n">
        <v>1</v>
      </c>
      <c r="B44" s="1" t="n">
        <v>0.014</v>
      </c>
      <c r="C44" s="1" t="n">
        <v>0.022</v>
      </c>
      <c r="D44" s="1" t="n">
        <v>0.028</v>
      </c>
    </row>
    <row r="45">
      <c r="A45" t="n">
        <v>2</v>
      </c>
      <c r="B45" s="1" t="n">
        <v>0.016</v>
      </c>
      <c r="C45" s="1" t="n">
        <v>0.026</v>
      </c>
      <c r="D45" s="1" t="n">
        <v>0.034</v>
      </c>
    </row>
    <row r="46">
      <c r="A46" t="n">
        <v>3</v>
      </c>
      <c r="B46" s="1" t="n">
        <v>0.018</v>
      </c>
      <c r="C46" s="1" t="n">
        <v>0.03</v>
      </c>
      <c r="D46" s="1" t="n">
        <v>0.04</v>
      </c>
    </row>
    <row r="47">
      <c r="A47" t="n">
        <v>4</v>
      </c>
      <c r="B47" s="1" t="n">
        <v>0.02</v>
      </c>
      <c r="C47" s="1" t="n">
        <v>0.032</v>
      </c>
      <c r="D47" s="1" t="n">
        <v>0.044</v>
      </c>
    </row>
    <row r="48">
      <c r="A48" t="n">
        <v>5</v>
      </c>
      <c r="B48" s="1" t="n">
        <v>0.02</v>
      </c>
      <c r="C48" s="1" t="n">
        <v>0.033</v>
      </c>
      <c r="D48" s="1" t="n">
        <v>0.045</v>
      </c>
    </row>
    <row r="49">
      <c r="A49" t="n">
        <v>6</v>
      </c>
      <c r="B49" s="1" t="n">
        <v>0.02</v>
      </c>
      <c r="C49" s="1" t="n">
        <v>0.033</v>
      </c>
      <c r="D49" s="1" t="n">
        <v>0.045</v>
      </c>
    </row>
    <row r="50">
      <c r="A50" t="n">
        <v>7</v>
      </c>
      <c r="B50" s="1" t="n">
        <v>0.02</v>
      </c>
      <c r="C50" s="1" t="n">
        <v>0.033</v>
      </c>
      <c r="D50" s="1" t="n">
        <v>0.045</v>
      </c>
    </row>
    <row r="51">
      <c r="A51" t="n">
        <v>8</v>
      </c>
      <c r="B51" s="1" t="n">
        <v>0.02</v>
      </c>
      <c r="C51" s="1" t="n">
        <v>0.033</v>
      </c>
      <c r="D51" s="1" t="n">
        <v>0.045</v>
      </c>
    </row>
    <row r="52">
      <c r="A52" t="n">
        <v>9</v>
      </c>
      <c r="B52" s="1" t="n">
        <v>0.02</v>
      </c>
      <c r="C52" s="1" t="n">
        <v>0.033</v>
      </c>
      <c r="D52" s="1" t="n">
        <v>0.045</v>
      </c>
    </row>
    <row r="53">
      <c r="A53" t="n">
        <v>10</v>
      </c>
      <c r="B53" s="1" t="n">
        <v>0.02</v>
      </c>
      <c r="C53" s="1" t="n">
        <v>0.033</v>
      </c>
      <c r="D53" s="1" t="n">
        <v>0.045</v>
      </c>
    </row>
    <row r="54">
      <c r="A54" t="n">
        <v>11</v>
      </c>
      <c r="B54" s="1" t="n">
        <v>0.02</v>
      </c>
      <c r="C54" s="1" t="n">
        <v>0.033</v>
      </c>
      <c r="D54" s="1" t="n">
        <v>0.045</v>
      </c>
    </row>
    <row r="55">
      <c r="A55" t="n">
        <v>12</v>
      </c>
      <c r="B55" s="1" t="n">
        <v>0.02</v>
      </c>
      <c r="C55" s="1" t="n">
        <v>0.033</v>
      </c>
      <c r="D55" s="1" t="n">
        <v>0.045</v>
      </c>
    </row>
    <row r="57">
      <c r="A57" t="inlineStr">
        <is>
          <t>Oferta</t>
        </is>
      </c>
      <c r="B57" t="inlineStr">
        <is>
          <t>Precio</t>
        </is>
      </c>
      <c r="C57" t="inlineStr">
        <is>
          <t>Coste producto</t>
        </is>
      </c>
      <c r="D57" t="inlineStr">
        <is>
          <t>Cajas nariz</t>
        </is>
      </c>
      <c r="E57" t="inlineStr">
        <is>
          <t>Cajas granos</t>
        </is>
      </c>
      <c r="F57" t="inlineStr">
        <is>
          <t>Mix</t>
        </is>
      </c>
      <c r="G57" t="inlineStr">
        <is>
          <t>Cobrado</t>
        </is>
      </c>
      <c r="H57" t="inlineStr">
        <is>
          <t>Neto</t>
        </is>
      </c>
      <c r="I57" t="inlineStr">
        <is>
          <t>Stripe</t>
        </is>
      </c>
      <c r="J57" t="inlineStr">
        <is>
          <t>Contribución</t>
        </is>
      </c>
    </row>
    <row r="58">
      <c r="A58" t="inlineStr">
        <is>
          <t>1 caja Nariz + envío 3,90 €</t>
        </is>
      </c>
      <c r="B58" s="1" t="n">
        <v>16.95</v>
      </c>
      <c r="C58" s="1" t="n">
        <v>2.9</v>
      </c>
      <c r="D58" s="1" t="n">
        <v>1</v>
      </c>
      <c r="E58" s="1" t="n">
        <v>0</v>
      </c>
      <c r="F58" s="1" t="n">
        <v>0.2</v>
      </c>
      <c r="G58">
        <f>B58+IF(B58&lt;free_from,ship_charge,0)</f>
        <v/>
      </c>
      <c r="H58">
        <f>G58/(1+iva)</f>
        <v/>
      </c>
      <c r="I58">
        <f>G58*pay_pct+pay_fix</f>
        <v/>
      </c>
      <c r="J58">
        <f>H58-C58-I58-ship-pack-H58*ret</f>
        <v/>
      </c>
    </row>
    <row r="59">
      <c r="A59" t="inlineStr">
        <is>
          <t>Dúo Noche (Nariz + Granos)</t>
        </is>
      </c>
      <c r="B59" s="1" t="n">
        <v>26.9</v>
      </c>
      <c r="C59" s="1" t="n">
        <v>4.5</v>
      </c>
      <c r="D59" s="1" t="n">
        <v>1</v>
      </c>
      <c r="E59" s="1" t="n">
        <v>1</v>
      </c>
      <c r="F59" s="1" t="n">
        <v>0.2</v>
      </c>
      <c r="G59">
        <f>B59+IF(B59&lt;free_from,ship_charge,0)</f>
        <v/>
      </c>
      <c r="H59">
        <f>G59/(1+iva)</f>
        <v/>
      </c>
      <c r="I59">
        <f>G59*pay_pct+pay_fix</f>
        <v/>
      </c>
      <c r="J59">
        <f>H59-C59-I59-ship-pack-H59*ret</f>
        <v/>
      </c>
    </row>
    <row r="60">
      <c r="A60" t="inlineStr">
        <is>
          <t>2 cajas Nariz</t>
        </is>
      </c>
      <c r="B60" s="1" t="n">
        <v>29.9</v>
      </c>
      <c r="C60" s="1" t="n">
        <v>5.8</v>
      </c>
      <c r="D60" s="1" t="n">
        <v>2</v>
      </c>
      <c r="E60" s="1" t="n">
        <v>0</v>
      </c>
      <c r="F60" s="1" t="n">
        <v>0.45</v>
      </c>
      <c r="G60">
        <f>B60+IF(B60&lt;free_from,ship_charge,0)</f>
        <v/>
      </c>
      <c r="H60">
        <f>G60/(1+iva)</f>
        <v/>
      </c>
      <c r="I60">
        <f>G60*pay_pct+pay_fix</f>
        <v/>
      </c>
      <c r="J60">
        <f>H60-C60-I60-ship-pack-H60*ret</f>
        <v/>
      </c>
    </row>
    <row r="61">
      <c r="A61" t="inlineStr">
        <is>
          <t>3 cajas Nariz</t>
        </is>
      </c>
      <c r="B61" s="1" t="n">
        <v>39.9</v>
      </c>
      <c r="C61" s="1" t="n">
        <v>8.699999999999999</v>
      </c>
      <c r="D61" s="1" t="n">
        <v>3</v>
      </c>
      <c r="E61" s="1" t="n">
        <v>0</v>
      </c>
      <c r="F61" s="1" t="n">
        <v>0.1</v>
      </c>
      <c r="G61">
        <f>B61+IF(B61&lt;free_from,ship_charge,0)</f>
        <v/>
      </c>
      <c r="H61">
        <f>G61/(1+iva)</f>
        <v/>
      </c>
      <c r="I61">
        <f>G61*pay_pct+pay_fix</f>
        <v/>
      </c>
      <c r="J61">
        <f>H61-C61-I61-ship-pack-H61*ret</f>
        <v/>
      </c>
    </row>
    <row r="62">
      <c r="A62" t="inlineStr">
        <is>
          <t>Mes completo (2 Nariz + 1 Granos)</t>
        </is>
      </c>
      <c r="B62" s="1" t="n">
        <v>42.9</v>
      </c>
      <c r="C62" s="1" t="n">
        <v>7.4</v>
      </c>
      <c r="D62" s="1" t="n">
        <v>2</v>
      </c>
      <c r="E62" s="1" t="n">
        <v>1</v>
      </c>
      <c r="F62" s="1" t="n">
        <v>0.05</v>
      </c>
      <c r="G62">
        <f>B62+IF(B62&lt;free_from,ship_charge,0)</f>
        <v/>
      </c>
      <c r="H62">
        <f>G62/(1+iva)</f>
        <v/>
      </c>
      <c r="I62">
        <f>G62*pay_pct+pay_fix</f>
        <v/>
      </c>
      <c r="J62">
        <f>H62-C62-I62-ship-pack-H62*ret</f>
        <v/>
      </c>
    </row>
    <row r="63">
      <c r="A63" t="inlineStr">
        <is>
          <t>Pedido medio</t>
        </is>
      </c>
      <c r="C63">
        <f>SUMPRODUCT(C58:C62,F58:F62)</f>
        <v/>
      </c>
      <c r="D63">
        <f>SUMPRODUCT(D58:D62,F58:F62)</f>
        <v/>
      </c>
      <c r="E63">
        <f>SUMPRODUCT(E58:E62,F58:F62)</f>
        <v/>
      </c>
      <c r="F63">
        <f>SUM(F58:F62)</f>
        <v/>
      </c>
      <c r="G63">
        <f>SUMPRODUCT(G58:G62,F58:F62)</f>
        <v/>
      </c>
      <c r="H63">
        <f>SUMPRODUCT(H58:H62,F58:F62)</f>
        <v/>
      </c>
      <c r="I63">
        <f>SUMPRODUCT(I58:I62,F58:F62)</f>
        <v/>
      </c>
      <c r="J63">
        <f>SUMPRODUCT(J58:J62,F58:F62)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>
      <c r="A1" s="2" t="inlineStr">
        <is>
          <t>Mes</t>
        </is>
      </c>
      <c r="B1" s="2" t="inlineStr">
        <is>
          <t>Anuncios</t>
        </is>
      </c>
      <c r="C1" s="2" t="inlineStr">
        <is>
          <t>CPM</t>
        </is>
      </c>
      <c r="D1" s="2" t="inlineStr">
        <is>
          <t>CTR</t>
        </is>
      </c>
      <c r="E1" s="2" t="inlineStr">
        <is>
          <t>CPC</t>
        </is>
      </c>
      <c r="F1" s="2" t="inlineStr">
        <is>
          <t>Impresiones</t>
        </is>
      </c>
      <c r="G1" s="2" t="inlineStr">
        <is>
          <t>Clics</t>
        </is>
      </c>
      <c r="H1" s="2" t="inlineStr">
        <is>
          <t>Visitas</t>
        </is>
      </c>
      <c r="I1" s="2" t="inlineStr">
        <is>
          <t>CVR</t>
        </is>
      </c>
      <c r="J1" s="2" t="inlineStr">
        <is>
          <t>Pedidos pagados</t>
        </is>
      </c>
      <c r="K1" s="2" t="inlineStr">
        <is>
          <t>Recompra</t>
        </is>
      </c>
      <c r="L1" s="2" t="inlineStr">
        <is>
          <t>Pedidos email</t>
        </is>
      </c>
      <c r="M1" s="2" t="inlineStr">
        <is>
          <t>Pedidos</t>
        </is>
      </c>
      <c r="N1" s="2" t="inlineStr">
        <is>
          <t>Necesidad nariz</t>
        </is>
      </c>
      <c r="O1" s="2" t="inlineStr">
        <is>
          <t>Necesidad granos</t>
        </is>
      </c>
      <c r="P1" s="2" t="inlineStr">
        <is>
          <t>Reposición nariz (cajas)</t>
        </is>
      </c>
      <c r="Q1" s="2" t="inlineStr">
        <is>
          <t>Reposición granos (cajas)</t>
        </is>
      </c>
      <c r="R1" s="2" t="inlineStr">
        <is>
          <t>Coste reposición</t>
        </is>
      </c>
      <c r="S1" s="2" t="inlineStr">
        <is>
          <t>Stock nariz tras repo</t>
        </is>
      </c>
      <c r="T1" s="2" t="inlineStr">
        <is>
          <t>Valor nariz tras repo</t>
        </is>
      </c>
      <c r="U1" s="2" t="inlineStr">
        <is>
          <t>Coste unit. nariz</t>
        </is>
      </c>
      <c r="V1" s="2" t="inlineStr">
        <is>
          <t>Stock granos tras repo</t>
        </is>
      </c>
      <c r="W1" s="2" t="inlineStr">
        <is>
          <t>Valor granos tras repo</t>
        </is>
      </c>
      <c r="X1" s="2" t="inlineStr">
        <is>
          <t>Coste unit. granos</t>
        </is>
      </c>
      <c r="Y1" s="2" t="inlineStr">
        <is>
          <t>Stock nariz fin</t>
        </is>
      </c>
      <c r="Z1" s="2" t="inlineStr">
        <is>
          <t>Valor nariz fin</t>
        </is>
      </c>
      <c r="AA1" s="2" t="inlineStr">
        <is>
          <t>Stock granos fin</t>
        </is>
      </c>
      <c r="AB1" s="2" t="inlineStr">
        <is>
          <t>Valor granos fin</t>
        </is>
      </c>
      <c r="AC1" s="2" t="inlineStr">
        <is>
          <t>Cobrado</t>
        </is>
      </c>
      <c r="AD1" s="2" t="inlineStr">
        <is>
          <t>Neto</t>
        </is>
      </c>
      <c r="AE1" s="2" t="inlineStr">
        <is>
          <t>IVA repercutido</t>
        </is>
      </c>
      <c r="AF1" s="2" t="inlineStr">
        <is>
          <t>Producto</t>
        </is>
      </c>
      <c r="AG1" s="2" t="inlineStr">
        <is>
          <t>Stripe</t>
        </is>
      </c>
      <c r="AH1" s="2" t="inlineStr">
        <is>
          <t>Envío+sobre</t>
        </is>
      </c>
      <c r="AI1" s="2" t="inlineStr">
        <is>
          <t>Devoluciones</t>
        </is>
      </c>
      <c r="AJ1" s="2" t="inlineStr">
        <is>
          <t>Contribución</t>
        </is>
      </c>
      <c r="AK1" s="2" t="inlineStr">
        <is>
          <t>Fijos</t>
        </is>
      </c>
      <c r="AL1" s="2" t="inlineStr">
        <is>
          <t>Resultado</t>
        </is>
      </c>
      <c r="AM1" s="2" t="inlineStr">
        <is>
          <t>CPA</t>
        </is>
      </c>
      <c r="AN1" s="2" t="inlineStr">
        <is>
          <t>ROAS</t>
        </is>
      </c>
      <c r="AO1" s="2" t="inlineStr">
        <is>
          <t>IVA soportado</t>
        </is>
      </c>
      <c r="AP1" s="2" t="inlineStr">
        <is>
          <t>IVA trimestre</t>
        </is>
      </c>
      <c r="AQ1" s="2" t="inlineStr">
        <is>
          <t>Aportación</t>
        </is>
      </c>
      <c r="AR1" s="2" t="inlineStr">
        <is>
          <t>Caja fin</t>
        </is>
      </c>
    </row>
    <row r="2">
      <c r="A2" t="n">
        <v>0</v>
      </c>
      <c r="B2">
        <f>spend0</f>
        <v/>
      </c>
      <c r="C2">
        <f>CHOOSE(scen,cpm1,cpm2,cpm3)</f>
        <v/>
      </c>
      <c r="D2">
        <f>CHOOSE(scen,ctr1,ctr2,ctr3)</f>
        <v/>
      </c>
      <c r="E2">
        <f>C2/1000/D2</f>
        <v/>
      </c>
      <c r="F2">
        <f>B2/C2*1000</f>
        <v/>
      </c>
      <c r="G2">
        <f>F2*D2</f>
        <v/>
      </c>
      <c r="H2">
        <f>G2*land</f>
        <v/>
      </c>
      <c r="I2">
        <f>CHOOSE(scen,Supuestos!B43,Supuestos!C43,Supuestos!D43)</f>
        <v/>
      </c>
      <c r="J2">
        <f>H2*I2</f>
        <v/>
      </c>
      <c r="K2" t="n">
        <v>0</v>
      </c>
      <c r="L2">
        <f>H2*CHOOSE(scen,lead1,lead2,lead3)*CHOOSE(scen,lcv1,lcv2,lcv3)</f>
        <v/>
      </c>
      <c r="M2">
        <f>J2+K2+L2</f>
        <v/>
      </c>
      <c r="N2">
        <f>M2*nose_per</f>
        <v/>
      </c>
      <c r="O2">
        <f>M2*spot_per</f>
        <v/>
      </c>
      <c r="P2">
        <f>IF(st_n0-N2&lt;60,MAX(125,CEILING(N2*2.5/125,1)*125),0)</f>
        <v/>
      </c>
      <c r="Q2">
        <f>IF(st_s0-O2&lt;20,MAX(60,CEILING(O2*2.5*1.5,1))/1.5,0)</f>
        <v/>
      </c>
      <c r="R2">
        <f>P2*r_nose+Q2*r_spot</f>
        <v/>
      </c>
      <c r="S2">
        <f>st_n0+P2</f>
        <v/>
      </c>
      <c r="T2">
        <f>st_n0*c_nose+P2*r_nose</f>
        <v/>
      </c>
      <c r="U2">
        <f>IF(S2&gt;0,T2/S2,c_nose)</f>
        <v/>
      </c>
      <c r="V2">
        <f>st_s0+Q2</f>
        <v/>
      </c>
      <c r="W2">
        <f>st_s0*c_spot+Q2*r_spot</f>
        <v/>
      </c>
      <c r="X2">
        <f>IF(V2&gt;0,W2/V2,c_spot)</f>
        <v/>
      </c>
      <c r="Y2">
        <f>S2-N2</f>
        <v/>
      </c>
      <c r="Z2">
        <f>T2-N2*U2</f>
        <v/>
      </c>
      <c r="AA2">
        <f>V2-O2</f>
        <v/>
      </c>
      <c r="AB2">
        <f>W2-O2*X2</f>
        <v/>
      </c>
      <c r="AC2">
        <f>M2*aov</f>
        <v/>
      </c>
      <c r="AD2">
        <f>M2*net_avg</f>
        <v/>
      </c>
      <c r="AE2">
        <f>AC2-AD2</f>
        <v/>
      </c>
      <c r="AF2">
        <f>N2*U2+O2*X2</f>
        <v/>
      </c>
      <c r="AG2">
        <f>M2*pay_avg</f>
        <v/>
      </c>
      <c r="AH2">
        <f>M2*(ship+pack)</f>
        <v/>
      </c>
      <c r="AI2">
        <f>AD2*ret</f>
        <v/>
      </c>
      <c r="AJ2">
        <f>AD2-AF2-AG2-AH2-AI2</f>
        <v/>
      </c>
      <c r="AK2">
        <f>fixed</f>
        <v/>
      </c>
      <c r="AL2">
        <f>AJ2-B2-AK2</f>
        <v/>
      </c>
      <c r="AM2">
        <f>IF(J2&gt;0,B2/J2,0)</f>
        <v/>
      </c>
      <c r="AN2">
        <f>IF(B2&gt;0,J2*aov/B2,0)</f>
        <v/>
      </c>
      <c r="AO2">
        <f>R2*iva+AH2*iva</f>
        <v/>
      </c>
      <c r="AP2" t="n">
        <v>0</v>
      </c>
      <c r="AQ2" t="n">
        <v>0</v>
      </c>
      <c r="AR2">
        <f>cash0+AQ2+AC2-AG2-B2-AK2-R2*(1+iva)-AH2*(1+iva)-AP2-AI2</f>
        <v/>
      </c>
    </row>
    <row r="3">
      <c r="A3" t="n">
        <v>1</v>
      </c>
      <c r="B3">
        <f>IF(FALSE(),0,MIN(cap1,MAX(B2,reinv*AJ2+AQ3),MAX(0,AR2+AQ3)))</f>
        <v/>
      </c>
      <c r="C3">
        <f>CHOOSE(scen,cpm1,cpm2,cpm3)</f>
        <v/>
      </c>
      <c r="D3">
        <f>CHOOSE(scen,ctr1,ctr2,ctr3)</f>
        <v/>
      </c>
      <c r="E3">
        <f>C3/1000/D3</f>
        <v/>
      </c>
      <c r="F3">
        <f>B3/C3*1000</f>
        <v/>
      </c>
      <c r="G3">
        <f>F3*D3</f>
        <v/>
      </c>
      <c r="H3">
        <f>G3*land</f>
        <v/>
      </c>
      <c r="I3">
        <f>CHOOSE(scen,Supuestos!B44,Supuestos!C44,Supuestos!D44)</f>
        <v/>
      </c>
      <c r="J3">
        <f>H3*I3</f>
        <v/>
      </c>
      <c r="K3" t="n">
        <v>0</v>
      </c>
      <c r="L3">
        <f>H3*CHOOSE(scen,lead1,lead2,lead3)*CHOOSE(scen,lcv1,lcv2,lcv3)</f>
        <v/>
      </c>
      <c r="M3">
        <f>J3+K3+L3</f>
        <v/>
      </c>
      <c r="N3">
        <f>M3*nose_per</f>
        <v/>
      </c>
      <c r="O3">
        <f>M3*spot_per</f>
        <v/>
      </c>
      <c r="P3">
        <f>IF(Y2-N3&lt;60,MAX(125,CEILING(N3*2.5/125,1)*125),0)</f>
        <v/>
      </c>
      <c r="Q3">
        <f>IF(AA2-O3&lt;20,MAX(60,CEILING(O3*2.5*1.5,1))/1.5,0)</f>
        <v/>
      </c>
      <c r="R3">
        <f>P3*r_nose+Q3*r_spot</f>
        <v/>
      </c>
      <c r="S3">
        <f>Y2+P3</f>
        <v/>
      </c>
      <c r="T3">
        <f>Z2+P3*r_nose</f>
        <v/>
      </c>
      <c r="U3">
        <f>IF(S3&gt;0,T3/S3,c_nose)</f>
        <v/>
      </c>
      <c r="V3">
        <f>AA2+Q3</f>
        <v/>
      </c>
      <c r="W3">
        <f>AB2+Q3*r_spot</f>
        <v/>
      </c>
      <c r="X3">
        <f>IF(V3&gt;0,W3/V3,c_spot)</f>
        <v/>
      </c>
      <c r="Y3">
        <f>S3-N3</f>
        <v/>
      </c>
      <c r="Z3">
        <f>T3-N3*U3</f>
        <v/>
      </c>
      <c r="AA3">
        <f>V3-O3</f>
        <v/>
      </c>
      <c r="AB3">
        <f>W3-O3*X3</f>
        <v/>
      </c>
      <c r="AC3">
        <f>M3*aov</f>
        <v/>
      </c>
      <c r="AD3">
        <f>M3*net_avg</f>
        <v/>
      </c>
      <c r="AE3">
        <f>AC3-AD3</f>
        <v/>
      </c>
      <c r="AF3">
        <f>N3*U3+O3*X3</f>
        <v/>
      </c>
      <c r="AG3">
        <f>M3*pay_avg</f>
        <v/>
      </c>
      <c r="AH3">
        <f>M3*(ship+pack)</f>
        <v/>
      </c>
      <c r="AI3">
        <f>AD3*ret</f>
        <v/>
      </c>
      <c r="AJ3">
        <f>AD3-AF3-AG3-AH3-AI3</f>
        <v/>
      </c>
      <c r="AK3">
        <f>fixed</f>
        <v/>
      </c>
      <c r="AL3">
        <f>AJ3-B3-AK3</f>
        <v/>
      </c>
      <c r="AM3">
        <f>IF(J3&gt;0,B3/J3,0)</f>
        <v/>
      </c>
      <c r="AN3">
        <f>IF(B3&gt;0,J3*aov/B3,0)</f>
        <v/>
      </c>
      <c r="AO3">
        <f>R3*iva+AH3*iva</f>
        <v/>
      </c>
      <c r="AP3" t="n">
        <v>0</v>
      </c>
      <c r="AQ3">
        <f>IF(FALSE(),0,IF(AL2&lt;aport_lim,aport,0))</f>
        <v/>
      </c>
      <c r="AR3">
        <f>AR2+AQ3+AC3-AG3-B3-AK3-R3*(1+iva)-AH3*(1+iva)-AP3-AI3</f>
        <v/>
      </c>
    </row>
    <row r="4">
      <c r="A4" t="n">
        <v>2</v>
      </c>
      <c r="B4">
        <f>IF(FALSE(),0,MIN(cap1,MAX(B3,reinv*AJ3+AQ4),MAX(0,AR3+AQ4)))</f>
        <v/>
      </c>
      <c r="C4">
        <f>CHOOSE(scen,cpm1,cpm2,cpm3)</f>
        <v/>
      </c>
      <c r="D4">
        <f>CHOOSE(scen,ctr1,ctr2,ctr3)</f>
        <v/>
      </c>
      <c r="E4">
        <f>C4/1000/D4</f>
        <v/>
      </c>
      <c r="F4">
        <f>B4/C4*1000</f>
        <v/>
      </c>
      <c r="G4">
        <f>F4*D4</f>
        <v/>
      </c>
      <c r="H4">
        <f>G4*land</f>
        <v/>
      </c>
      <c r="I4">
        <f>CHOOSE(scen,Supuestos!B45,Supuestos!C45,Supuestos!D45)</f>
        <v/>
      </c>
      <c r="J4">
        <f>H4*I4</f>
        <v/>
      </c>
      <c r="K4">
        <f>CHOOSE(scen,rep1,rep2,rep3)*J2</f>
        <v/>
      </c>
      <c r="L4">
        <f>H4*CHOOSE(scen,lead1,lead2,lead3)*CHOOSE(scen,lcv1,lcv2,lcv3)</f>
        <v/>
      </c>
      <c r="M4">
        <f>J4+K4+L4</f>
        <v/>
      </c>
      <c r="N4">
        <f>M4*nose_per</f>
        <v/>
      </c>
      <c r="O4">
        <f>M4*spot_per</f>
        <v/>
      </c>
      <c r="P4">
        <f>IF(Y3-N4&lt;60,MAX(125,CEILING(N4*2.5/125,1)*125),0)</f>
        <v/>
      </c>
      <c r="Q4">
        <f>IF(AA3-O4&lt;20,MAX(60,CEILING(O4*2.5*1.5,1))/1.5,0)</f>
        <v/>
      </c>
      <c r="R4">
        <f>P4*r_nose+Q4*r_spot</f>
        <v/>
      </c>
      <c r="S4">
        <f>Y3+P4</f>
        <v/>
      </c>
      <c r="T4">
        <f>Z3+P4*r_nose</f>
        <v/>
      </c>
      <c r="U4">
        <f>IF(S4&gt;0,T4/S4,c_nose)</f>
        <v/>
      </c>
      <c r="V4">
        <f>AA3+Q4</f>
        <v/>
      </c>
      <c r="W4">
        <f>AB3+Q4*r_spot</f>
        <v/>
      </c>
      <c r="X4">
        <f>IF(V4&gt;0,W4/V4,c_spot)</f>
        <v/>
      </c>
      <c r="Y4">
        <f>S4-N4</f>
        <v/>
      </c>
      <c r="Z4">
        <f>T4-N4*U4</f>
        <v/>
      </c>
      <c r="AA4">
        <f>V4-O4</f>
        <v/>
      </c>
      <c r="AB4">
        <f>W4-O4*X4</f>
        <v/>
      </c>
      <c r="AC4">
        <f>M4*aov</f>
        <v/>
      </c>
      <c r="AD4">
        <f>M4*net_avg</f>
        <v/>
      </c>
      <c r="AE4">
        <f>AC4-AD4</f>
        <v/>
      </c>
      <c r="AF4">
        <f>N4*U4+O4*X4</f>
        <v/>
      </c>
      <c r="AG4">
        <f>M4*pay_avg</f>
        <v/>
      </c>
      <c r="AH4">
        <f>M4*(ship+pack)</f>
        <v/>
      </c>
      <c r="AI4">
        <f>AD4*ret</f>
        <v/>
      </c>
      <c r="AJ4">
        <f>AD4-AF4-AG4-AH4-AI4</f>
        <v/>
      </c>
      <c r="AK4">
        <f>fixed</f>
        <v/>
      </c>
      <c r="AL4">
        <f>AJ4-B4-AK4</f>
        <v/>
      </c>
      <c r="AM4">
        <f>IF(J4&gt;0,B4/J4,0)</f>
        <v/>
      </c>
      <c r="AN4">
        <f>IF(B4&gt;0,J4*aov/B4,0)</f>
        <v/>
      </c>
      <c r="AO4">
        <f>R4*iva+AH4*iva</f>
        <v/>
      </c>
      <c r="AP4" t="n">
        <v>0</v>
      </c>
      <c r="AQ4">
        <f>IF(FALSE(),0,IF(AL3&lt;aport_lim,aport,0))</f>
        <v/>
      </c>
      <c r="AR4">
        <f>AR3+AQ4+AC4-AG4-B4-AK4-R4*(1+iva)-AH4*(1+iva)-AP4-AI4</f>
        <v/>
      </c>
    </row>
    <row r="5">
      <c r="A5" t="n">
        <v>3</v>
      </c>
      <c r="B5">
        <f>IF(FALSE(),0,MIN(cap1,MAX(B4,reinv*AJ4+AQ5),MAX(0,AR4+AQ5)))</f>
        <v/>
      </c>
      <c r="C5">
        <f>CHOOSE(scen,cpm1,cpm2,cpm3)</f>
        <v/>
      </c>
      <c r="D5">
        <f>CHOOSE(scen,ctr1,ctr2,ctr3)</f>
        <v/>
      </c>
      <c r="E5">
        <f>C5/1000/D5</f>
        <v/>
      </c>
      <c r="F5">
        <f>B5/C5*1000</f>
        <v/>
      </c>
      <c r="G5">
        <f>F5*D5</f>
        <v/>
      </c>
      <c r="H5">
        <f>G5*land</f>
        <v/>
      </c>
      <c r="I5">
        <f>CHOOSE(scen,Supuestos!B46,Supuestos!C46,Supuestos!D46)</f>
        <v/>
      </c>
      <c r="J5">
        <f>H5*I5</f>
        <v/>
      </c>
      <c r="K5">
        <f>CHOOSE(scen,rep1,rep2,rep3)*J3</f>
        <v/>
      </c>
      <c r="L5">
        <f>H5*CHOOSE(scen,lead1,lead2,lead3)*CHOOSE(scen,lcv1,lcv2,lcv3)</f>
        <v/>
      </c>
      <c r="M5">
        <f>J5+K5+L5</f>
        <v/>
      </c>
      <c r="N5">
        <f>M5*nose_per</f>
        <v/>
      </c>
      <c r="O5">
        <f>M5*spot_per</f>
        <v/>
      </c>
      <c r="P5">
        <f>IF(Y4-N5&lt;60,MAX(125,CEILING(N5*2.5/125,1)*125),0)</f>
        <v/>
      </c>
      <c r="Q5">
        <f>IF(AA4-O5&lt;20,MAX(60,CEILING(O5*2.5*1.5,1))/1.5,0)</f>
        <v/>
      </c>
      <c r="R5">
        <f>P5*r_nose+Q5*r_spot</f>
        <v/>
      </c>
      <c r="S5">
        <f>Y4+P5</f>
        <v/>
      </c>
      <c r="T5">
        <f>Z4+P5*r_nose</f>
        <v/>
      </c>
      <c r="U5">
        <f>IF(S5&gt;0,T5/S5,c_nose)</f>
        <v/>
      </c>
      <c r="V5">
        <f>AA4+Q5</f>
        <v/>
      </c>
      <c r="W5">
        <f>AB4+Q5*r_spot</f>
        <v/>
      </c>
      <c r="X5">
        <f>IF(V5&gt;0,W5/V5,c_spot)</f>
        <v/>
      </c>
      <c r="Y5">
        <f>S5-N5</f>
        <v/>
      </c>
      <c r="Z5">
        <f>T5-N5*U5</f>
        <v/>
      </c>
      <c r="AA5">
        <f>V5-O5</f>
        <v/>
      </c>
      <c r="AB5">
        <f>W5-O5*X5</f>
        <v/>
      </c>
      <c r="AC5">
        <f>M5*aov</f>
        <v/>
      </c>
      <c r="AD5">
        <f>M5*net_avg</f>
        <v/>
      </c>
      <c r="AE5">
        <f>AC5-AD5</f>
        <v/>
      </c>
      <c r="AF5">
        <f>N5*U5+O5*X5</f>
        <v/>
      </c>
      <c r="AG5">
        <f>M5*pay_avg</f>
        <v/>
      </c>
      <c r="AH5">
        <f>M5*(ship+pack)</f>
        <v/>
      </c>
      <c r="AI5">
        <f>AD5*ret</f>
        <v/>
      </c>
      <c r="AJ5">
        <f>AD5-AF5-AG5-AH5-AI5</f>
        <v/>
      </c>
      <c r="AK5">
        <f>fixed</f>
        <v/>
      </c>
      <c r="AL5">
        <f>AJ5-B5-AK5</f>
        <v/>
      </c>
      <c r="AM5">
        <f>IF(J5&gt;0,B5/J5,0)</f>
        <v/>
      </c>
      <c r="AN5">
        <f>IF(B5&gt;0,J5*aov/B5,0)</f>
        <v/>
      </c>
      <c r="AO5">
        <f>R5*iva+AH5*iva</f>
        <v/>
      </c>
      <c r="AP5">
        <f>IF(AND(A5&gt;0,MOD(A5,3)=0),SUM(AE2:AE4)-SUM(AO2:AO4),0)</f>
        <v/>
      </c>
      <c r="AQ5">
        <f>IF(FALSE(),0,IF(AL4&lt;aport_lim,aport,0))</f>
        <v/>
      </c>
      <c r="AR5">
        <f>AR4+AQ5+AC5-AG5-B5-AK5-R5*(1+iva)-AH5*(1+iva)-AP5-AI5</f>
        <v/>
      </c>
    </row>
    <row r="6">
      <c r="A6" t="n">
        <v>4</v>
      </c>
      <c r="B6">
        <f>IF((AM5&gt;contrib_avg),0,MIN(cap1,MAX(B5,reinv*AJ5+AQ6),MAX(0,AR5+AQ6)))</f>
        <v/>
      </c>
      <c r="C6">
        <f>CHOOSE(scen,cpm1,cpm2,cpm3)</f>
        <v/>
      </c>
      <c r="D6">
        <f>CHOOSE(scen,ctr1,ctr2,ctr3)</f>
        <v/>
      </c>
      <c r="E6">
        <f>C6/1000/D6</f>
        <v/>
      </c>
      <c r="F6">
        <f>B6/C6*1000</f>
        <v/>
      </c>
      <c r="G6">
        <f>F6*D6</f>
        <v/>
      </c>
      <c r="H6">
        <f>G6*land</f>
        <v/>
      </c>
      <c r="I6">
        <f>CHOOSE(scen,Supuestos!B47,Supuestos!C47,Supuestos!D47)</f>
        <v/>
      </c>
      <c r="J6">
        <f>H6*I6</f>
        <v/>
      </c>
      <c r="K6">
        <f>CHOOSE(scen,rep1,rep2,rep3)*J4</f>
        <v/>
      </c>
      <c r="L6">
        <f>H6*CHOOSE(scen,lead1,lead2,lead3)*CHOOSE(scen,lcv1,lcv2,lcv3)</f>
        <v/>
      </c>
      <c r="M6">
        <f>J6+K6+L6</f>
        <v/>
      </c>
      <c r="N6">
        <f>M6*nose_per</f>
        <v/>
      </c>
      <c r="O6">
        <f>M6*spot_per</f>
        <v/>
      </c>
      <c r="P6">
        <f>IF(Y5-N6&lt;60,MAX(125,CEILING(N6*2.5/125,1)*125),0)</f>
        <v/>
      </c>
      <c r="Q6">
        <f>IF(AA5-O6&lt;20,MAX(60,CEILING(O6*2.5*1.5,1))/1.5,0)</f>
        <v/>
      </c>
      <c r="R6">
        <f>P6*r_nose+Q6*r_spot</f>
        <v/>
      </c>
      <c r="S6">
        <f>Y5+P6</f>
        <v/>
      </c>
      <c r="T6">
        <f>Z5+P6*r_nose</f>
        <v/>
      </c>
      <c r="U6">
        <f>IF(S6&gt;0,T6/S6,c_nose)</f>
        <v/>
      </c>
      <c r="V6">
        <f>AA5+Q6</f>
        <v/>
      </c>
      <c r="W6">
        <f>AB5+Q6*r_spot</f>
        <v/>
      </c>
      <c r="X6">
        <f>IF(V6&gt;0,W6/V6,c_spot)</f>
        <v/>
      </c>
      <c r="Y6">
        <f>S6-N6</f>
        <v/>
      </c>
      <c r="Z6">
        <f>T6-N6*U6</f>
        <v/>
      </c>
      <c r="AA6">
        <f>V6-O6</f>
        <v/>
      </c>
      <c r="AB6">
        <f>W6-O6*X6</f>
        <v/>
      </c>
      <c r="AC6">
        <f>M6*aov</f>
        <v/>
      </c>
      <c r="AD6">
        <f>M6*net_avg</f>
        <v/>
      </c>
      <c r="AE6">
        <f>AC6-AD6</f>
        <v/>
      </c>
      <c r="AF6">
        <f>N6*U6+O6*X6</f>
        <v/>
      </c>
      <c r="AG6">
        <f>M6*pay_avg</f>
        <v/>
      </c>
      <c r="AH6">
        <f>M6*(ship+pack)</f>
        <v/>
      </c>
      <c r="AI6">
        <f>AD6*ret</f>
        <v/>
      </c>
      <c r="AJ6">
        <f>AD6-AF6-AG6-AH6-AI6</f>
        <v/>
      </c>
      <c r="AK6">
        <f>fixed</f>
        <v/>
      </c>
      <c r="AL6">
        <f>AJ6-B6-AK6</f>
        <v/>
      </c>
      <c r="AM6">
        <f>IF(J6&gt;0,B6/J6,0)</f>
        <v/>
      </c>
      <c r="AN6">
        <f>IF(B6&gt;0,J6*aov/B6,0)</f>
        <v/>
      </c>
      <c r="AO6">
        <f>R6*iva+AH6*iva</f>
        <v/>
      </c>
      <c r="AP6">
        <f>IF(AND(A6&gt;0,MOD(A6,3)=0),SUM(AE3:AE5)-SUM(AO3:AO5),0)</f>
        <v/>
      </c>
      <c r="AQ6">
        <f>IF((AM5&gt;contrib_avg),0,IF(AL5&lt;aport_lim,aport,0))</f>
        <v/>
      </c>
      <c r="AR6">
        <f>AR5+AQ6+AC6-AG6-B6-AK6-R6*(1+iva)-AH6*(1+iva)-AP6-AI6</f>
        <v/>
      </c>
    </row>
    <row r="7">
      <c r="A7" t="n">
        <v>5</v>
      </c>
      <c r="B7">
        <f>IF((AM5&gt;contrib_avg),0,MIN(cap1,MAX(B6,reinv*AJ6+AQ7),MAX(0,AR6+AQ7)))</f>
        <v/>
      </c>
      <c r="C7">
        <f>CHOOSE(scen,cpm1,cpm2,cpm3)</f>
        <v/>
      </c>
      <c r="D7">
        <f>CHOOSE(scen,ctr1,ctr2,ctr3)</f>
        <v/>
      </c>
      <c r="E7">
        <f>C7/1000/D7</f>
        <v/>
      </c>
      <c r="F7">
        <f>B7/C7*1000</f>
        <v/>
      </c>
      <c r="G7">
        <f>F7*D7</f>
        <v/>
      </c>
      <c r="H7">
        <f>G7*land</f>
        <v/>
      </c>
      <c r="I7">
        <f>CHOOSE(scen,Supuestos!B48,Supuestos!C48,Supuestos!D48)</f>
        <v/>
      </c>
      <c r="J7">
        <f>H7*I7</f>
        <v/>
      </c>
      <c r="K7">
        <f>CHOOSE(scen,rep1,rep2,rep3)*J5</f>
        <v/>
      </c>
      <c r="L7">
        <f>H7*CHOOSE(scen,lead1,lead2,lead3)*CHOOSE(scen,lcv1,lcv2,lcv3)</f>
        <v/>
      </c>
      <c r="M7">
        <f>J7+K7+L7</f>
        <v/>
      </c>
      <c r="N7">
        <f>M7*nose_per</f>
        <v/>
      </c>
      <c r="O7">
        <f>M7*spot_per</f>
        <v/>
      </c>
      <c r="P7">
        <f>IF(Y6-N7&lt;60,MAX(125,CEILING(N7*2.5/125,1)*125),0)</f>
        <v/>
      </c>
      <c r="Q7">
        <f>IF(AA6-O7&lt;20,MAX(60,CEILING(O7*2.5*1.5,1))/1.5,0)</f>
        <v/>
      </c>
      <c r="R7">
        <f>P7*r_nose+Q7*r_spot</f>
        <v/>
      </c>
      <c r="S7">
        <f>Y6+P7</f>
        <v/>
      </c>
      <c r="T7">
        <f>Z6+P7*r_nose</f>
        <v/>
      </c>
      <c r="U7">
        <f>IF(S7&gt;0,T7/S7,c_nose)</f>
        <v/>
      </c>
      <c r="V7">
        <f>AA6+Q7</f>
        <v/>
      </c>
      <c r="W7">
        <f>AB6+Q7*r_spot</f>
        <v/>
      </c>
      <c r="X7">
        <f>IF(V7&gt;0,W7/V7,c_spot)</f>
        <v/>
      </c>
      <c r="Y7">
        <f>S7-N7</f>
        <v/>
      </c>
      <c r="Z7">
        <f>T7-N7*U7</f>
        <v/>
      </c>
      <c r="AA7">
        <f>V7-O7</f>
        <v/>
      </c>
      <c r="AB7">
        <f>W7-O7*X7</f>
        <v/>
      </c>
      <c r="AC7">
        <f>M7*aov</f>
        <v/>
      </c>
      <c r="AD7">
        <f>M7*net_avg</f>
        <v/>
      </c>
      <c r="AE7">
        <f>AC7-AD7</f>
        <v/>
      </c>
      <c r="AF7">
        <f>N7*U7+O7*X7</f>
        <v/>
      </c>
      <c r="AG7">
        <f>M7*pay_avg</f>
        <v/>
      </c>
      <c r="AH7">
        <f>M7*(ship+pack)</f>
        <v/>
      </c>
      <c r="AI7">
        <f>AD7*ret</f>
        <v/>
      </c>
      <c r="AJ7">
        <f>AD7-AF7-AG7-AH7-AI7</f>
        <v/>
      </c>
      <c r="AK7">
        <f>fixed</f>
        <v/>
      </c>
      <c r="AL7">
        <f>AJ7-B7-AK7</f>
        <v/>
      </c>
      <c r="AM7">
        <f>IF(J7&gt;0,B7/J7,0)</f>
        <v/>
      </c>
      <c r="AN7">
        <f>IF(B7&gt;0,J7*aov/B7,0)</f>
        <v/>
      </c>
      <c r="AO7">
        <f>R7*iva+AH7*iva</f>
        <v/>
      </c>
      <c r="AP7">
        <f>IF(AND(A7&gt;0,MOD(A7,3)=0),SUM(AE4:AE6)-SUM(AO4:AO6),0)</f>
        <v/>
      </c>
      <c r="AQ7">
        <f>IF((AM5&gt;contrib_avg),0,IF(AL6&lt;aport_lim,aport,0))</f>
        <v/>
      </c>
      <c r="AR7">
        <f>AR6+AQ7+AC7-AG7-B7-AK7-R7*(1+iva)-AH7*(1+iva)-AP7-AI7</f>
        <v/>
      </c>
    </row>
    <row r="8">
      <c r="A8" t="n">
        <v>6</v>
      </c>
      <c r="B8">
        <f>IF((AM5&gt;contrib_avg),0,MIN(cap2,MAX(B7,reinv*AJ7+AQ8),MAX(0,AR7+AQ8)))</f>
        <v/>
      </c>
      <c r="C8">
        <f>CHOOSE(scen,cpm1,cpm2,cpm3)</f>
        <v/>
      </c>
      <c r="D8">
        <f>CHOOSE(scen,ctr1,ctr2,ctr3)</f>
        <v/>
      </c>
      <c r="E8">
        <f>C8/1000/D8</f>
        <v/>
      </c>
      <c r="F8">
        <f>B8/C8*1000</f>
        <v/>
      </c>
      <c r="G8">
        <f>F8*D8</f>
        <v/>
      </c>
      <c r="H8">
        <f>G8*land</f>
        <v/>
      </c>
      <c r="I8">
        <f>CHOOSE(scen,Supuestos!B49,Supuestos!C49,Supuestos!D49)</f>
        <v/>
      </c>
      <c r="J8">
        <f>H8*I8</f>
        <v/>
      </c>
      <c r="K8">
        <f>CHOOSE(scen,rep1,rep2,rep3)*J6</f>
        <v/>
      </c>
      <c r="L8">
        <f>H8*CHOOSE(scen,lead1,lead2,lead3)*CHOOSE(scen,lcv1,lcv2,lcv3)</f>
        <v/>
      </c>
      <c r="M8">
        <f>J8+K8+L8</f>
        <v/>
      </c>
      <c r="N8">
        <f>M8*nose_per</f>
        <v/>
      </c>
      <c r="O8">
        <f>M8*spot_per</f>
        <v/>
      </c>
      <c r="P8">
        <f>IF(Y7-N8&lt;60,MAX(125,CEILING(N8*2.5/125,1)*125),0)</f>
        <v/>
      </c>
      <c r="Q8">
        <f>IF(AA7-O8&lt;20,MAX(60,CEILING(O8*2.5*1.5,1))/1.5,0)</f>
        <v/>
      </c>
      <c r="R8">
        <f>P8*r_nose+Q8*r_spot</f>
        <v/>
      </c>
      <c r="S8">
        <f>Y7+P8</f>
        <v/>
      </c>
      <c r="T8">
        <f>Z7+P8*r_nose</f>
        <v/>
      </c>
      <c r="U8">
        <f>IF(S8&gt;0,T8/S8,c_nose)</f>
        <v/>
      </c>
      <c r="V8">
        <f>AA7+Q8</f>
        <v/>
      </c>
      <c r="W8">
        <f>AB7+Q8*r_spot</f>
        <v/>
      </c>
      <c r="X8">
        <f>IF(V8&gt;0,W8/V8,c_spot)</f>
        <v/>
      </c>
      <c r="Y8">
        <f>S8-N8</f>
        <v/>
      </c>
      <c r="Z8">
        <f>T8-N8*U8</f>
        <v/>
      </c>
      <c r="AA8">
        <f>V8-O8</f>
        <v/>
      </c>
      <c r="AB8">
        <f>W8-O8*X8</f>
        <v/>
      </c>
      <c r="AC8">
        <f>M8*aov</f>
        <v/>
      </c>
      <c r="AD8">
        <f>M8*net_avg</f>
        <v/>
      </c>
      <c r="AE8">
        <f>AC8-AD8</f>
        <v/>
      </c>
      <c r="AF8">
        <f>N8*U8+O8*X8</f>
        <v/>
      </c>
      <c r="AG8">
        <f>M8*pay_avg</f>
        <v/>
      </c>
      <c r="AH8">
        <f>M8*(ship+pack)</f>
        <v/>
      </c>
      <c r="AI8">
        <f>AD8*ret</f>
        <v/>
      </c>
      <c r="AJ8">
        <f>AD8-AF8-AG8-AH8-AI8</f>
        <v/>
      </c>
      <c r="AK8">
        <f>fixed</f>
        <v/>
      </c>
      <c r="AL8">
        <f>AJ8-B8-AK8</f>
        <v/>
      </c>
      <c r="AM8">
        <f>IF(J8&gt;0,B8/J8,0)</f>
        <v/>
      </c>
      <c r="AN8">
        <f>IF(B8&gt;0,J8*aov/B8,0)</f>
        <v/>
      </c>
      <c r="AO8">
        <f>R8*iva+AH8*iva</f>
        <v/>
      </c>
      <c r="AP8">
        <f>IF(AND(A8&gt;0,MOD(A8,3)=0),SUM(AE5:AE7)-SUM(AO5:AO7),0)</f>
        <v/>
      </c>
      <c r="AQ8">
        <f>IF((AM5&gt;contrib_avg),0,IF(AL7&lt;aport_lim,aport,0))</f>
        <v/>
      </c>
      <c r="AR8">
        <f>AR7+AQ8+AC8-AG8-B8-AK8-R8*(1+iva)-AH8*(1+iva)-AP8-AI8</f>
        <v/>
      </c>
    </row>
    <row r="9">
      <c r="A9" t="n">
        <v>7</v>
      </c>
      <c r="B9">
        <f>IF((AM5&gt;contrib_avg),0,MIN(cap2,MAX(B8,reinv*AJ8+AQ9),MAX(0,AR8+AQ9)))</f>
        <v/>
      </c>
      <c r="C9">
        <f>CHOOSE(scen,cpm1,cpm2,cpm3)</f>
        <v/>
      </c>
      <c r="D9">
        <f>CHOOSE(scen,ctr1,ctr2,ctr3)</f>
        <v/>
      </c>
      <c r="E9">
        <f>C9/1000/D9</f>
        <v/>
      </c>
      <c r="F9">
        <f>B9/C9*1000</f>
        <v/>
      </c>
      <c r="G9">
        <f>F9*D9</f>
        <v/>
      </c>
      <c r="H9">
        <f>G9*land</f>
        <v/>
      </c>
      <c r="I9">
        <f>CHOOSE(scen,Supuestos!B50,Supuestos!C50,Supuestos!D50)</f>
        <v/>
      </c>
      <c r="J9">
        <f>H9*I9</f>
        <v/>
      </c>
      <c r="K9">
        <f>CHOOSE(scen,rep1,rep2,rep3)*J7</f>
        <v/>
      </c>
      <c r="L9">
        <f>H9*CHOOSE(scen,lead1,lead2,lead3)*CHOOSE(scen,lcv1,lcv2,lcv3)</f>
        <v/>
      </c>
      <c r="M9">
        <f>J9+K9+L9</f>
        <v/>
      </c>
      <c r="N9">
        <f>M9*nose_per</f>
        <v/>
      </c>
      <c r="O9">
        <f>M9*spot_per</f>
        <v/>
      </c>
      <c r="P9">
        <f>IF(Y8-N9&lt;60,MAX(125,CEILING(N9*2.5/125,1)*125),0)</f>
        <v/>
      </c>
      <c r="Q9">
        <f>IF(AA8-O9&lt;20,MAX(60,CEILING(O9*2.5*1.5,1))/1.5,0)</f>
        <v/>
      </c>
      <c r="R9">
        <f>P9*r_nose+Q9*r_spot</f>
        <v/>
      </c>
      <c r="S9">
        <f>Y8+P9</f>
        <v/>
      </c>
      <c r="T9">
        <f>Z8+P9*r_nose</f>
        <v/>
      </c>
      <c r="U9">
        <f>IF(S9&gt;0,T9/S9,c_nose)</f>
        <v/>
      </c>
      <c r="V9">
        <f>AA8+Q9</f>
        <v/>
      </c>
      <c r="W9">
        <f>AB8+Q9*r_spot</f>
        <v/>
      </c>
      <c r="X9">
        <f>IF(V9&gt;0,W9/V9,c_spot)</f>
        <v/>
      </c>
      <c r="Y9">
        <f>S9-N9</f>
        <v/>
      </c>
      <c r="Z9">
        <f>T9-N9*U9</f>
        <v/>
      </c>
      <c r="AA9">
        <f>V9-O9</f>
        <v/>
      </c>
      <c r="AB9">
        <f>W9-O9*X9</f>
        <v/>
      </c>
      <c r="AC9">
        <f>M9*aov</f>
        <v/>
      </c>
      <c r="AD9">
        <f>M9*net_avg</f>
        <v/>
      </c>
      <c r="AE9">
        <f>AC9-AD9</f>
        <v/>
      </c>
      <c r="AF9">
        <f>N9*U9+O9*X9</f>
        <v/>
      </c>
      <c r="AG9">
        <f>M9*pay_avg</f>
        <v/>
      </c>
      <c r="AH9">
        <f>M9*(ship+pack)</f>
        <v/>
      </c>
      <c r="AI9">
        <f>AD9*ret</f>
        <v/>
      </c>
      <c r="AJ9">
        <f>AD9-AF9-AG9-AH9-AI9</f>
        <v/>
      </c>
      <c r="AK9">
        <f>fixed</f>
        <v/>
      </c>
      <c r="AL9">
        <f>AJ9-B9-AK9</f>
        <v/>
      </c>
      <c r="AM9">
        <f>IF(J9&gt;0,B9/J9,0)</f>
        <v/>
      </c>
      <c r="AN9">
        <f>IF(B9&gt;0,J9*aov/B9,0)</f>
        <v/>
      </c>
      <c r="AO9">
        <f>R9*iva+AH9*iva</f>
        <v/>
      </c>
      <c r="AP9">
        <f>IF(AND(A9&gt;0,MOD(A9,3)=0),SUM(AE6:AE8)-SUM(AO6:AO8),0)</f>
        <v/>
      </c>
      <c r="AQ9">
        <f>IF((AM5&gt;contrib_avg),0,IF(AL8&lt;aport_lim,aport,0))</f>
        <v/>
      </c>
      <c r="AR9">
        <f>AR8+AQ9+AC9-AG9-B9-AK9-R9*(1+iva)-AH9*(1+iva)-AP9-AI9</f>
        <v/>
      </c>
    </row>
    <row r="10">
      <c r="A10" t="n">
        <v>8</v>
      </c>
      <c r="B10">
        <f>IF((AM5&gt;contrib_avg),0,MIN(cap2,MAX(B9,reinv*AJ9+AQ10),MAX(0,AR9+AQ10)))</f>
        <v/>
      </c>
      <c r="C10">
        <f>CHOOSE(scen,cpm1,cpm2,cpm3)</f>
        <v/>
      </c>
      <c r="D10">
        <f>CHOOSE(scen,ctr1,ctr2,ctr3)</f>
        <v/>
      </c>
      <c r="E10">
        <f>C10/1000/D10</f>
        <v/>
      </c>
      <c r="F10">
        <f>B10/C10*1000</f>
        <v/>
      </c>
      <c r="G10">
        <f>F10*D10</f>
        <v/>
      </c>
      <c r="H10">
        <f>G10*land</f>
        <v/>
      </c>
      <c r="I10">
        <f>CHOOSE(scen,Supuestos!B51,Supuestos!C51,Supuestos!D51)</f>
        <v/>
      </c>
      <c r="J10">
        <f>H10*I10</f>
        <v/>
      </c>
      <c r="K10">
        <f>CHOOSE(scen,rep1,rep2,rep3)*J8</f>
        <v/>
      </c>
      <c r="L10">
        <f>H10*CHOOSE(scen,lead1,lead2,lead3)*CHOOSE(scen,lcv1,lcv2,lcv3)</f>
        <v/>
      </c>
      <c r="M10">
        <f>J10+K10+L10</f>
        <v/>
      </c>
      <c r="N10">
        <f>M10*nose_per</f>
        <v/>
      </c>
      <c r="O10">
        <f>M10*spot_per</f>
        <v/>
      </c>
      <c r="P10">
        <f>IF(Y9-N10&lt;60,MAX(125,CEILING(N10*2.5/125,1)*125),0)</f>
        <v/>
      </c>
      <c r="Q10">
        <f>IF(AA9-O10&lt;20,MAX(60,CEILING(O10*2.5*1.5,1))/1.5,0)</f>
        <v/>
      </c>
      <c r="R10">
        <f>P10*r_nose+Q10*r_spot</f>
        <v/>
      </c>
      <c r="S10">
        <f>Y9+P10</f>
        <v/>
      </c>
      <c r="T10">
        <f>Z9+P10*r_nose</f>
        <v/>
      </c>
      <c r="U10">
        <f>IF(S10&gt;0,T10/S10,c_nose)</f>
        <v/>
      </c>
      <c r="V10">
        <f>AA9+Q10</f>
        <v/>
      </c>
      <c r="W10">
        <f>AB9+Q10*r_spot</f>
        <v/>
      </c>
      <c r="X10">
        <f>IF(V10&gt;0,W10/V10,c_spot)</f>
        <v/>
      </c>
      <c r="Y10">
        <f>S10-N10</f>
        <v/>
      </c>
      <c r="Z10">
        <f>T10-N10*U10</f>
        <v/>
      </c>
      <c r="AA10">
        <f>V10-O10</f>
        <v/>
      </c>
      <c r="AB10">
        <f>W10-O10*X10</f>
        <v/>
      </c>
      <c r="AC10">
        <f>M10*aov</f>
        <v/>
      </c>
      <c r="AD10">
        <f>M10*net_avg</f>
        <v/>
      </c>
      <c r="AE10">
        <f>AC10-AD10</f>
        <v/>
      </c>
      <c r="AF10">
        <f>N10*U10+O10*X10</f>
        <v/>
      </c>
      <c r="AG10">
        <f>M10*pay_avg</f>
        <v/>
      </c>
      <c r="AH10">
        <f>M10*(ship+pack)</f>
        <v/>
      </c>
      <c r="AI10">
        <f>AD10*ret</f>
        <v/>
      </c>
      <c r="AJ10">
        <f>AD10-AF10-AG10-AH10-AI10</f>
        <v/>
      </c>
      <c r="AK10">
        <f>fixed</f>
        <v/>
      </c>
      <c r="AL10">
        <f>AJ10-B10-AK10</f>
        <v/>
      </c>
      <c r="AM10">
        <f>IF(J10&gt;0,B10/J10,0)</f>
        <v/>
      </c>
      <c r="AN10">
        <f>IF(B10&gt;0,J10*aov/B10,0)</f>
        <v/>
      </c>
      <c r="AO10">
        <f>R10*iva+AH10*iva</f>
        <v/>
      </c>
      <c r="AP10">
        <f>IF(AND(A10&gt;0,MOD(A10,3)=0),SUM(AE7:AE9)-SUM(AO7:AO9),0)</f>
        <v/>
      </c>
      <c r="AQ10">
        <f>IF((AM5&gt;contrib_avg),0,IF(AL9&lt;aport_lim,aport,0))</f>
        <v/>
      </c>
      <c r="AR10">
        <f>AR9+AQ10+AC10-AG10-B10-AK10-R10*(1+iva)-AH10*(1+iva)-AP10-AI10</f>
        <v/>
      </c>
    </row>
    <row r="11">
      <c r="A11" t="n">
        <v>9</v>
      </c>
      <c r="B11">
        <f>IF((AM5&gt;contrib_avg),0,MIN(cap2,MAX(B10,reinv*AJ10+AQ11),MAX(0,AR10+AQ11)))</f>
        <v/>
      </c>
      <c r="C11">
        <f>CHOOSE(scen,cpm1,cpm2,cpm3)</f>
        <v/>
      </c>
      <c r="D11">
        <f>CHOOSE(scen,ctr1,ctr2,ctr3)</f>
        <v/>
      </c>
      <c r="E11">
        <f>C11/1000/D11</f>
        <v/>
      </c>
      <c r="F11">
        <f>B11/C11*1000</f>
        <v/>
      </c>
      <c r="G11">
        <f>F11*D11</f>
        <v/>
      </c>
      <c r="H11">
        <f>G11*land</f>
        <v/>
      </c>
      <c r="I11">
        <f>CHOOSE(scen,Supuestos!B52,Supuestos!C52,Supuestos!D52)</f>
        <v/>
      </c>
      <c r="J11">
        <f>H11*I11</f>
        <v/>
      </c>
      <c r="K11">
        <f>CHOOSE(scen,rep1,rep2,rep3)*J9</f>
        <v/>
      </c>
      <c r="L11">
        <f>H11*CHOOSE(scen,lead1,lead2,lead3)*CHOOSE(scen,lcv1,lcv2,lcv3)</f>
        <v/>
      </c>
      <c r="M11">
        <f>J11+K11+L11</f>
        <v/>
      </c>
      <c r="N11">
        <f>M11*nose_per</f>
        <v/>
      </c>
      <c r="O11">
        <f>M11*spot_per</f>
        <v/>
      </c>
      <c r="P11">
        <f>IF(Y10-N11&lt;60,MAX(125,CEILING(N11*2.5/125,1)*125),0)</f>
        <v/>
      </c>
      <c r="Q11">
        <f>IF(AA10-O11&lt;20,MAX(60,CEILING(O11*2.5*1.5,1))/1.5,0)</f>
        <v/>
      </c>
      <c r="R11">
        <f>P11*r_nose+Q11*r_spot</f>
        <v/>
      </c>
      <c r="S11">
        <f>Y10+P11</f>
        <v/>
      </c>
      <c r="T11">
        <f>Z10+P11*r_nose</f>
        <v/>
      </c>
      <c r="U11">
        <f>IF(S11&gt;0,T11/S11,c_nose)</f>
        <v/>
      </c>
      <c r="V11">
        <f>AA10+Q11</f>
        <v/>
      </c>
      <c r="W11">
        <f>AB10+Q11*r_spot</f>
        <v/>
      </c>
      <c r="X11">
        <f>IF(V11&gt;0,W11/V11,c_spot)</f>
        <v/>
      </c>
      <c r="Y11">
        <f>S11-N11</f>
        <v/>
      </c>
      <c r="Z11">
        <f>T11-N11*U11</f>
        <v/>
      </c>
      <c r="AA11">
        <f>V11-O11</f>
        <v/>
      </c>
      <c r="AB11">
        <f>W11-O11*X11</f>
        <v/>
      </c>
      <c r="AC11">
        <f>M11*aov</f>
        <v/>
      </c>
      <c r="AD11">
        <f>M11*net_avg</f>
        <v/>
      </c>
      <c r="AE11">
        <f>AC11-AD11</f>
        <v/>
      </c>
      <c r="AF11">
        <f>N11*U11+O11*X11</f>
        <v/>
      </c>
      <c r="AG11">
        <f>M11*pay_avg</f>
        <v/>
      </c>
      <c r="AH11">
        <f>M11*(ship+pack)</f>
        <v/>
      </c>
      <c r="AI11">
        <f>AD11*ret</f>
        <v/>
      </c>
      <c r="AJ11">
        <f>AD11-AF11-AG11-AH11-AI11</f>
        <v/>
      </c>
      <c r="AK11">
        <f>fixed</f>
        <v/>
      </c>
      <c r="AL11">
        <f>AJ11-B11-AK11</f>
        <v/>
      </c>
      <c r="AM11">
        <f>IF(J11&gt;0,B11/J11,0)</f>
        <v/>
      </c>
      <c r="AN11">
        <f>IF(B11&gt;0,J11*aov/B11,0)</f>
        <v/>
      </c>
      <c r="AO11">
        <f>R11*iva+AH11*iva</f>
        <v/>
      </c>
      <c r="AP11">
        <f>IF(AND(A11&gt;0,MOD(A11,3)=0),SUM(AE8:AE10)-SUM(AO8:AO10),0)</f>
        <v/>
      </c>
      <c r="AQ11">
        <f>IF((AM5&gt;contrib_avg),0,IF(AL10&lt;aport_lim,aport,0))</f>
        <v/>
      </c>
      <c r="AR11">
        <f>AR10+AQ11+AC11-AG11-B11-AK11-R11*(1+iva)-AH11*(1+iva)-AP11-AI11</f>
        <v/>
      </c>
    </row>
    <row r="12">
      <c r="A12" t="n">
        <v>10</v>
      </c>
      <c r="B12">
        <f>IF((AM5&gt;contrib_avg),0,MIN(cap2,MAX(B11,reinv*AJ11+AQ12),MAX(0,AR11+AQ12)))</f>
        <v/>
      </c>
      <c r="C12">
        <f>CHOOSE(scen,cpm1,cpm2,cpm3)</f>
        <v/>
      </c>
      <c r="D12">
        <f>CHOOSE(scen,ctr1,ctr2,ctr3)</f>
        <v/>
      </c>
      <c r="E12">
        <f>C12/1000/D12</f>
        <v/>
      </c>
      <c r="F12">
        <f>B12/C12*1000</f>
        <v/>
      </c>
      <c r="G12">
        <f>F12*D12</f>
        <v/>
      </c>
      <c r="H12">
        <f>G12*land</f>
        <v/>
      </c>
      <c r="I12">
        <f>CHOOSE(scen,Supuestos!B53,Supuestos!C53,Supuestos!D53)</f>
        <v/>
      </c>
      <c r="J12">
        <f>H12*I12</f>
        <v/>
      </c>
      <c r="K12">
        <f>CHOOSE(scen,rep1,rep2,rep3)*J10</f>
        <v/>
      </c>
      <c r="L12">
        <f>H12*CHOOSE(scen,lead1,lead2,lead3)*CHOOSE(scen,lcv1,lcv2,lcv3)</f>
        <v/>
      </c>
      <c r="M12">
        <f>J12+K12+L12</f>
        <v/>
      </c>
      <c r="N12">
        <f>M12*nose_per</f>
        <v/>
      </c>
      <c r="O12">
        <f>M12*spot_per</f>
        <v/>
      </c>
      <c r="P12">
        <f>IF(Y11-N12&lt;60,MAX(125,CEILING(N12*2.5/125,1)*125),0)</f>
        <v/>
      </c>
      <c r="Q12">
        <f>IF(AA11-O12&lt;20,MAX(60,CEILING(O12*2.5*1.5,1))/1.5,0)</f>
        <v/>
      </c>
      <c r="R12">
        <f>P12*r_nose+Q12*r_spot</f>
        <v/>
      </c>
      <c r="S12">
        <f>Y11+P12</f>
        <v/>
      </c>
      <c r="T12">
        <f>Z11+P12*r_nose</f>
        <v/>
      </c>
      <c r="U12">
        <f>IF(S12&gt;0,T12/S12,c_nose)</f>
        <v/>
      </c>
      <c r="V12">
        <f>AA11+Q12</f>
        <v/>
      </c>
      <c r="W12">
        <f>AB11+Q12*r_spot</f>
        <v/>
      </c>
      <c r="X12">
        <f>IF(V12&gt;0,W12/V12,c_spot)</f>
        <v/>
      </c>
      <c r="Y12">
        <f>S12-N12</f>
        <v/>
      </c>
      <c r="Z12">
        <f>T12-N12*U12</f>
        <v/>
      </c>
      <c r="AA12">
        <f>V12-O12</f>
        <v/>
      </c>
      <c r="AB12">
        <f>W12-O12*X12</f>
        <v/>
      </c>
      <c r="AC12">
        <f>M12*aov</f>
        <v/>
      </c>
      <c r="AD12">
        <f>M12*net_avg</f>
        <v/>
      </c>
      <c r="AE12">
        <f>AC12-AD12</f>
        <v/>
      </c>
      <c r="AF12">
        <f>N12*U12+O12*X12</f>
        <v/>
      </c>
      <c r="AG12">
        <f>M12*pay_avg</f>
        <v/>
      </c>
      <c r="AH12">
        <f>M12*(ship+pack)</f>
        <v/>
      </c>
      <c r="AI12">
        <f>AD12*ret</f>
        <v/>
      </c>
      <c r="AJ12">
        <f>AD12-AF12-AG12-AH12-AI12</f>
        <v/>
      </c>
      <c r="AK12">
        <f>fixed</f>
        <v/>
      </c>
      <c r="AL12">
        <f>AJ12-B12-AK12</f>
        <v/>
      </c>
      <c r="AM12">
        <f>IF(J12&gt;0,B12/J12,0)</f>
        <v/>
      </c>
      <c r="AN12">
        <f>IF(B12&gt;0,J12*aov/B12,0)</f>
        <v/>
      </c>
      <c r="AO12">
        <f>R12*iva+AH12*iva</f>
        <v/>
      </c>
      <c r="AP12">
        <f>IF(AND(A12&gt;0,MOD(A12,3)=0),SUM(AE9:AE11)-SUM(AO9:AO11),0)</f>
        <v/>
      </c>
      <c r="AQ12">
        <f>IF((AM5&gt;contrib_avg),0,IF(AL11&lt;aport_lim,aport,0))</f>
        <v/>
      </c>
      <c r="AR12">
        <f>AR11+AQ12+AC12-AG12-B12-AK12-R12*(1+iva)-AH12*(1+iva)-AP12-AI12</f>
        <v/>
      </c>
    </row>
    <row r="13">
      <c r="A13" t="n">
        <v>11</v>
      </c>
      <c r="B13">
        <f>IF((AM5&gt;contrib_avg),0,MIN(cap2,MAX(B12,reinv*AJ12+AQ13),MAX(0,AR12+AQ13)))</f>
        <v/>
      </c>
      <c r="C13">
        <f>CHOOSE(scen,cpm1,cpm2,cpm3)</f>
        <v/>
      </c>
      <c r="D13">
        <f>CHOOSE(scen,ctr1,ctr2,ctr3)</f>
        <v/>
      </c>
      <c r="E13">
        <f>C13/1000/D13</f>
        <v/>
      </c>
      <c r="F13">
        <f>B13/C13*1000</f>
        <v/>
      </c>
      <c r="G13">
        <f>F13*D13</f>
        <v/>
      </c>
      <c r="H13">
        <f>G13*land</f>
        <v/>
      </c>
      <c r="I13">
        <f>CHOOSE(scen,Supuestos!B54,Supuestos!C54,Supuestos!D54)</f>
        <v/>
      </c>
      <c r="J13">
        <f>H13*I13</f>
        <v/>
      </c>
      <c r="K13">
        <f>CHOOSE(scen,rep1,rep2,rep3)*J11</f>
        <v/>
      </c>
      <c r="L13">
        <f>H13*CHOOSE(scen,lead1,lead2,lead3)*CHOOSE(scen,lcv1,lcv2,lcv3)</f>
        <v/>
      </c>
      <c r="M13">
        <f>J13+K13+L13</f>
        <v/>
      </c>
      <c r="N13">
        <f>M13*nose_per</f>
        <v/>
      </c>
      <c r="O13">
        <f>M13*spot_per</f>
        <v/>
      </c>
      <c r="P13">
        <f>IF(Y12-N13&lt;60,MAX(125,CEILING(N13*2.5/125,1)*125),0)</f>
        <v/>
      </c>
      <c r="Q13">
        <f>IF(AA12-O13&lt;20,MAX(60,CEILING(O13*2.5*1.5,1))/1.5,0)</f>
        <v/>
      </c>
      <c r="R13">
        <f>P13*r_nose+Q13*r_spot</f>
        <v/>
      </c>
      <c r="S13">
        <f>Y12+P13</f>
        <v/>
      </c>
      <c r="T13">
        <f>Z12+P13*r_nose</f>
        <v/>
      </c>
      <c r="U13">
        <f>IF(S13&gt;0,T13/S13,c_nose)</f>
        <v/>
      </c>
      <c r="V13">
        <f>AA12+Q13</f>
        <v/>
      </c>
      <c r="W13">
        <f>AB12+Q13*r_spot</f>
        <v/>
      </c>
      <c r="X13">
        <f>IF(V13&gt;0,W13/V13,c_spot)</f>
        <v/>
      </c>
      <c r="Y13">
        <f>S13-N13</f>
        <v/>
      </c>
      <c r="Z13">
        <f>T13-N13*U13</f>
        <v/>
      </c>
      <c r="AA13">
        <f>V13-O13</f>
        <v/>
      </c>
      <c r="AB13">
        <f>W13-O13*X13</f>
        <v/>
      </c>
      <c r="AC13">
        <f>M13*aov</f>
        <v/>
      </c>
      <c r="AD13">
        <f>M13*net_avg</f>
        <v/>
      </c>
      <c r="AE13">
        <f>AC13-AD13</f>
        <v/>
      </c>
      <c r="AF13">
        <f>N13*U13+O13*X13</f>
        <v/>
      </c>
      <c r="AG13">
        <f>M13*pay_avg</f>
        <v/>
      </c>
      <c r="AH13">
        <f>M13*(ship+pack)</f>
        <v/>
      </c>
      <c r="AI13">
        <f>AD13*ret</f>
        <v/>
      </c>
      <c r="AJ13">
        <f>AD13-AF13-AG13-AH13-AI13</f>
        <v/>
      </c>
      <c r="AK13">
        <f>fixed</f>
        <v/>
      </c>
      <c r="AL13">
        <f>AJ13-B13-AK13</f>
        <v/>
      </c>
      <c r="AM13">
        <f>IF(J13&gt;0,B13/J13,0)</f>
        <v/>
      </c>
      <c r="AN13">
        <f>IF(B13&gt;0,J13*aov/B13,0)</f>
        <v/>
      </c>
      <c r="AO13">
        <f>R13*iva+AH13*iva</f>
        <v/>
      </c>
      <c r="AP13">
        <f>IF(AND(A13&gt;0,MOD(A13,3)=0),SUM(AE10:AE12)-SUM(AO10:AO12),0)</f>
        <v/>
      </c>
      <c r="AQ13">
        <f>IF((AM5&gt;contrib_avg),0,IF(AL12&lt;aport_lim,aport,0))</f>
        <v/>
      </c>
      <c r="AR13">
        <f>AR12+AQ13+AC13-AG13-B13-AK13-R13*(1+iva)-AH13*(1+iva)-AP13-AI13</f>
        <v/>
      </c>
    </row>
    <row r="14">
      <c r="A14" t="n">
        <v>12</v>
      </c>
      <c r="B14">
        <f>IF((AM5&gt;contrib_avg),0,MIN(cap2,MAX(B13,reinv*AJ13+AQ14),MAX(0,AR13+AQ14)))</f>
        <v/>
      </c>
      <c r="C14">
        <f>CHOOSE(scen,cpm1,cpm2,cpm3)</f>
        <v/>
      </c>
      <c r="D14">
        <f>CHOOSE(scen,ctr1,ctr2,ctr3)</f>
        <v/>
      </c>
      <c r="E14">
        <f>C14/1000/D14</f>
        <v/>
      </c>
      <c r="F14">
        <f>B14/C14*1000</f>
        <v/>
      </c>
      <c r="G14">
        <f>F14*D14</f>
        <v/>
      </c>
      <c r="H14">
        <f>G14*land</f>
        <v/>
      </c>
      <c r="I14">
        <f>CHOOSE(scen,Supuestos!B55,Supuestos!C55,Supuestos!D55)</f>
        <v/>
      </c>
      <c r="J14">
        <f>H14*I14</f>
        <v/>
      </c>
      <c r="K14">
        <f>CHOOSE(scen,rep1,rep2,rep3)*J12</f>
        <v/>
      </c>
      <c r="L14">
        <f>H14*CHOOSE(scen,lead1,lead2,lead3)*CHOOSE(scen,lcv1,lcv2,lcv3)</f>
        <v/>
      </c>
      <c r="M14">
        <f>J14+K14+L14</f>
        <v/>
      </c>
      <c r="N14">
        <f>M14*nose_per</f>
        <v/>
      </c>
      <c r="O14">
        <f>M14*spot_per</f>
        <v/>
      </c>
      <c r="P14">
        <f>IF(Y13-N14&lt;60,MAX(125,CEILING(N14*2.5/125,1)*125),0)</f>
        <v/>
      </c>
      <c r="Q14">
        <f>IF(AA13-O14&lt;20,MAX(60,CEILING(O14*2.5*1.5,1))/1.5,0)</f>
        <v/>
      </c>
      <c r="R14">
        <f>P14*r_nose+Q14*r_spot</f>
        <v/>
      </c>
      <c r="S14">
        <f>Y13+P14</f>
        <v/>
      </c>
      <c r="T14">
        <f>Z13+P14*r_nose</f>
        <v/>
      </c>
      <c r="U14">
        <f>IF(S14&gt;0,T14/S14,c_nose)</f>
        <v/>
      </c>
      <c r="V14">
        <f>AA13+Q14</f>
        <v/>
      </c>
      <c r="W14">
        <f>AB13+Q14*r_spot</f>
        <v/>
      </c>
      <c r="X14">
        <f>IF(V14&gt;0,W14/V14,c_spot)</f>
        <v/>
      </c>
      <c r="Y14">
        <f>S14-N14</f>
        <v/>
      </c>
      <c r="Z14">
        <f>T14-N14*U14</f>
        <v/>
      </c>
      <c r="AA14">
        <f>V14-O14</f>
        <v/>
      </c>
      <c r="AB14">
        <f>W14-O14*X14</f>
        <v/>
      </c>
      <c r="AC14">
        <f>M14*aov</f>
        <v/>
      </c>
      <c r="AD14">
        <f>M14*net_avg</f>
        <v/>
      </c>
      <c r="AE14">
        <f>AC14-AD14</f>
        <v/>
      </c>
      <c r="AF14">
        <f>N14*U14+O14*X14</f>
        <v/>
      </c>
      <c r="AG14">
        <f>M14*pay_avg</f>
        <v/>
      </c>
      <c r="AH14">
        <f>M14*(ship+pack)</f>
        <v/>
      </c>
      <c r="AI14">
        <f>AD14*ret</f>
        <v/>
      </c>
      <c r="AJ14">
        <f>AD14-AF14-AG14-AH14-AI14</f>
        <v/>
      </c>
      <c r="AK14">
        <f>fixed</f>
        <v/>
      </c>
      <c r="AL14">
        <f>AJ14-B14-AK14</f>
        <v/>
      </c>
      <c r="AM14">
        <f>IF(J14&gt;0,B14/J14,0)</f>
        <v/>
      </c>
      <c r="AN14">
        <f>IF(B14&gt;0,J14*aov/B14,0)</f>
        <v/>
      </c>
      <c r="AO14">
        <f>R14*iva+AH14*iva</f>
        <v/>
      </c>
      <c r="AP14">
        <f>IF(AND(A14&gt;0,MOD(A14,3)=0),SUM(AE11:AE13)-SUM(AO11:AO13),0)</f>
        <v/>
      </c>
      <c r="AQ14">
        <f>IF((AM5&gt;contrib_avg),0,IF(AL13&lt;aport_lim,aport,0))</f>
        <v/>
      </c>
      <c r="AR14">
        <f>AR13+AQ14+AC14-AG14-B14-AK14-R14*(1+iva)-AH14*(1+iva)-AP14-AI14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2026-09-09T14:53:33Z</dcterms:created>
  <dcterms:modified xsi:type="dcterms:W3CDTF">2026-09-09T14:53:33Z</dcterms:modified>
</cp:coreProperties>
</file>