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Unit Economics SKU" sheetId="2" state="visible" r:id="rId4"/>
    <sheet name="PyG 12 meses" sheetId="3" state="visible" r:id="rId5"/>
    <sheet name="Caja" sheetId="4" state="visible" r:id="rId6"/>
    <sheet name="Punto muerto" sheetId="5" state="visible" r:id="rId7"/>
    <sheet name="E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Basado en el dato del encargo: 0,30-0,60 $/parche de nariz (Corea) y 0,15-0,21 $ (China), a nivel de pack de 8 uds.</t>
        </r>
      </text>
    </comment>
    <comment ref="F6" authorId="0">
      <text>
        <r>
          <rPr>
            <sz val="10"/>
            <rFont val="Arial"/>
            <family val="2"/>
          </rPr>
          <t xml:space="preserve">Estimación de investigación de proveedores: parche de puntos vendido como hoja de 36 puntos, coste 0,50-0,75 $ (Corea) / 0,90-1,30 $ (China) por pack completo.</t>
        </r>
      </text>
    </comment>
    <comment ref="M5" authorId="0">
      <text>
        <r>
          <rPr>
            <sz val="10"/>
            <rFont val="Arial"/>
            <family val="2"/>
          </rPr>
          <t xml:space="preserve">Troquel amortizado: 1.000 $ / 3.000 uds = 0,333 $/parche individual, multiplicado por las unidades del pack. Los líquidos no llevan troquel.</t>
        </r>
      </text>
    </comment>
    <comment ref="O5" authorId="0">
      <text>
        <r>
          <rPr>
            <sz val="10"/>
            <rFont val="Arial"/>
            <family val="2"/>
          </rPr>
          <t xml:space="preserve">Coste desembarcado = (coste fábrica medio + packaging + troquel)*FX*(1+arancel) + flete. Arancel Corea 0% (acuerdo UE-Corea), China 6,5%.</t>
        </r>
      </text>
    </comment>
    <comment ref="O19" authorId="0">
      <text>
        <r>
          <rPr>
            <sz val="10"/>
            <rFont val="Arial"/>
            <family val="2"/>
          </rPr>
          <t xml:space="preserve">Coste desembarcado medio ponderado por el mix de ventas (fuente: sourcing Corea, arancel 0%). Usado como COGS/pedido en la hoja PyG 12 meses.</t>
        </r>
      </text>
    </comment>
    <comment ref="V5" authorId="0">
      <text>
        <r>
          <rPr>
            <sz val="10"/>
            <rFont val="Arial"/>
            <family val="2"/>
          </rPr>
          <t xml:space="preserve">Envío a cargo de la empresa solo si el PVP del pedido supera el umbral de envío gratis (30€); si no, se asume que el cliente paga un gasto de envío aparte.</t>
        </r>
      </text>
    </comment>
    <comment ref="Z5" authorId="0">
      <text>
        <r>
          <rPr>
            <sz val="10"/>
            <rFont val="Arial"/>
            <family val="2"/>
          </rPr>
          <t xml:space="preserve">Margen de contribución = margen bruto - pasarela de pago - envío - pick&amp;pack - packaging de envío + impacto esperado de devoluciones (-3% del margen bruto).</t>
        </r>
      </text>
    </comment>
    <comment ref="AD5" authorId="0">
      <text>
        <r>
          <rPr>
            <sz val="10"/>
            <rFont val="Arial"/>
            <family val="2"/>
          </rPr>
          <t xml:space="preserve">Mix de ventas estimado (% de pedidos por SKU/bundle). Inputs editables; deben sumar 100%. Alimenta la media ponderada usada en PyG y Punto muerto.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Inversión en Ads: mes 1 = Supuestos!ads_m1. Meses siguientes: si el ROAS del mes anterior &gt;= ROAS objetivo, crece al ritmo del escenario activo; si no, se mantiene plana. Siempre limitada por el techo de Ads del escenario activo.</t>
        </r>
      </text>
    </comment>
    <comment ref="C12" authorId="0">
      <text>
        <r>
          <rPr>
            <sz val="10"/>
            <rFont val="Arial"/>
            <family val="2"/>
          </rPr>
          <t xml:space="preserve">Recompra no-suscriptores: se asume ventana de 90 días -&gt; los pedidos nuevos de hace 3 meses generan recompra al ratio 'repetición 90 días' del escenario activo, excluyendo a clientes que ya son suscriptores.</t>
        </r>
      </text>
    </comment>
    <comment ref="C18" authorId="0">
      <text>
        <r>
          <rPr>
            <sz val="10"/>
            <rFont val="Arial"/>
            <family val="2"/>
          </rPr>
          <t xml:space="preserve">Costes variables por pedido = media ponderada por mix de ventas de la hoja 'Unit Economics SKU' (fila de mix), sobre coste desembarcado vía Corea (arancel 0%).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0" authorId="0">
      <text>
        <r>
          <rPr>
            <sz val="10"/>
            <rFont val="Arial"/>
            <family val="2"/>
          </rPr>
          <t xml:space="preserve">Reposición: si la cobertura de stock cae por debajo del umbral (60 días), se genera un pedido para alcanzar 90 días de cobertura, pagado 30% al generarse y 70% el mes siguiente (llegada de mercancía).</t>
        </r>
      </text>
    </comment>
    <comment ref="C25" authorId="0">
      <text>
        <r>
          <rPr>
            <sz val="10"/>
            <rFont val="Arial"/>
            <family val="2"/>
          </rPr>
          <t xml:space="preserve">Cobro Stripe/Shopify Payments D+2: se asume que el (2/30) de las ventas del mes se cobra el mes siguiente; el resto, el mismo mes.</t>
        </r>
      </text>
    </comment>
    <comment ref="C29" authorId="0">
      <text>
        <r>
          <rPr>
            <sz val="10"/>
            <rFont val="Arial"/>
            <family val="2"/>
          </rPr>
          <t xml:space="preserve">IVA simplificado: IVA repercutido en ventas menos 21% estimado sobre COGS y costes fijos (aproximación; no incluye deducción de IVA soportado en Ads ni en compras de inventario en origen, que suelen no llevar IVA español).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7" authorId="0">
      <text>
        <r>
          <rPr>
            <sz val="10"/>
            <rFont val="Arial"/>
            <family val="2"/>
          </rPr>
          <t xml:space="preserve">Tabla de sensibilidad: cada celda = Margen de contribución mensual (€) = Pedidos(Presupuesto/CPA) × Margen unitario(AOV) − Presupuesto de Ads. Verde/positivo = escenario rentable a ese CPA y AOV.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Estas filas alimentan, vía CHOOSE, las celdas '...activo' de la hoja Supuestos. Cambiar el selector de escenario en Supuestos recalcula PyG, Caja y Punto muerto.</t>
        </r>
      </text>
    </comment>
  </commentList>
</comments>
</file>

<file path=xl/sharedStrings.xml><?xml version="1.0" encoding="utf-8"?>
<sst xmlns="http://schemas.openxmlformats.org/spreadsheetml/2006/main" count="526" uniqueCount="366">
  <si>
    <t xml:space="preserve">NOCTA — Supuestos del modelo financiero (España, 2026)</t>
  </si>
  <si>
    <t xml:space="preserve">Todas las celdas en azul son inputs editables. El resto de hojas referencia estos valores.</t>
  </si>
  <si>
    <t xml:space="preserve">Parámetro</t>
  </si>
  <si>
    <t xml:space="preserve">Valor</t>
  </si>
  <si>
    <t xml:space="preserve">Unidad</t>
  </si>
  <si>
    <t xml:space="preserve">Nota / fuente</t>
  </si>
  <si>
    <t xml:space="preserve">Cambio de divisa e impuestos</t>
  </si>
  <si>
    <t xml:space="preserve">Tipo de cambio USD → EUR</t>
  </si>
  <si>
    <t xml:space="preserve">€/$</t>
  </si>
  <si>
    <t xml:space="preserve">Supuesto dado en el encargo</t>
  </si>
  <si>
    <t xml:space="preserve">IVA España (tipo general)</t>
  </si>
  <si>
    <t xml:space="preserve">%</t>
  </si>
  <si>
    <t xml:space="preserve">Ley 37/1992 IVA</t>
  </si>
  <si>
    <t xml:space="preserve">Shopify y pasarela de pago</t>
  </si>
  <si>
    <t xml:space="preserve">Shopify Basic</t>
  </si>
  <si>
    <t xml:space="preserve">€/mes</t>
  </si>
  <si>
    <t xml:space="preserve">Supuesto dado (precio 2026)</t>
  </si>
  <si>
    <t xml:space="preserve">Shopify Grow (plan superior)</t>
  </si>
  <si>
    <t xml:space="preserve">Comisión Shopify Payments</t>
  </si>
  <si>
    <t xml:space="preserve">% s/venta</t>
  </si>
  <si>
    <t xml:space="preserve">Supuesto dado</t>
  </si>
  <si>
    <t xml:space="preserve">Fee fijo Shopify Payments</t>
  </si>
  <si>
    <t xml:space="preserve">€/transacción</t>
  </si>
  <si>
    <t xml:space="preserve">Comisión Klarna</t>
  </si>
  <si>
    <t xml:space="preserve">Fee fijo Klarna</t>
  </si>
  <si>
    <t xml:space="preserve">Envío (Correos / GLS) — 250 g, según región</t>
  </si>
  <si>
    <t xml:space="preserve">Envío Península (mínimo)</t>
  </si>
  <si>
    <t xml:space="preserve">€</t>
  </si>
  <si>
    <t xml:space="preserve">Envío Península (máximo)</t>
  </si>
  <si>
    <t xml:space="preserve">Envío Península (medio)</t>
  </si>
  <si>
    <t xml:space="preserve">Media del rango dado</t>
  </si>
  <si>
    <t xml:space="preserve">Envío Baleares</t>
  </si>
  <si>
    <t xml:space="preserve">Envío Canarias</t>
  </si>
  <si>
    <t xml:space="preserve">% pedidos Península</t>
  </si>
  <si>
    <t xml:space="preserve">Estimación: distribución de población/envíos España</t>
  </si>
  <si>
    <t xml:space="preserve">% pedidos Baleares</t>
  </si>
  <si>
    <t xml:space="preserve">Estimación</t>
  </si>
  <si>
    <t xml:space="preserve">% pedidos Canarias</t>
  </si>
  <si>
    <t xml:space="preserve">Envío medio ponderado (mix regional)</t>
  </si>
  <si>
    <t xml:space="preserve">Ponderado por mix regional estimado</t>
  </si>
  <si>
    <t xml:space="preserve">Logística 3PL (pick&amp;pack, packaging, devoluciones)</t>
  </si>
  <si>
    <t xml:space="preserve">Pick&amp;pack 3PL (mínimo)</t>
  </si>
  <si>
    <t xml:space="preserve">€/pedido</t>
  </si>
  <si>
    <t xml:space="preserve">Pick&amp;pack 3PL (máximo)</t>
  </si>
  <si>
    <t xml:space="preserve">Pick&amp;pack 3PL (medio)</t>
  </si>
  <si>
    <t xml:space="preserve">Coste por unidad adicional en pedido</t>
  </si>
  <si>
    <t xml:space="preserve">€/ud adicional</t>
  </si>
  <si>
    <t xml:space="preserve">Packaging de envío (caja/sobre + relleno)</t>
  </si>
  <si>
    <t xml:space="preserve">Tasa de devoluciones</t>
  </si>
  <si>
    <t xml:space="preserve">Marketing / adquisición (Meta Ads)</t>
  </si>
  <si>
    <t xml:space="preserve">CPM Meta España (mínimo)</t>
  </si>
  <si>
    <t xml:space="preserve">CPM Meta España (máximo)</t>
  </si>
  <si>
    <t xml:space="preserve">CPM Meta España (medio)</t>
  </si>
  <si>
    <t xml:space="preserve">CTR</t>
  </si>
  <si>
    <t xml:space="preserve">CVR (escenario Base)</t>
  </si>
  <si>
    <t xml:space="preserve">Supuesto dado (base)</t>
  </si>
  <si>
    <t xml:space="preserve">CVR (escenario Conservador)</t>
  </si>
  <si>
    <t xml:space="preserve">Estimación: -27% vs. base por menor eficiencia de creatividades/audiencia</t>
  </si>
  <si>
    <t xml:space="preserve">CVR (escenario Agresivo)</t>
  </si>
  <si>
    <t xml:space="preserve">Estimación: +27% vs. base por buen product-market fit y UGC</t>
  </si>
  <si>
    <t xml:space="preserve">AOV (ticket medio, con IVA)</t>
  </si>
  <si>
    <t xml:space="preserve">Unidades por pedido</t>
  </si>
  <si>
    <t xml:space="preserve">uds</t>
  </si>
  <si>
    <t xml:space="preserve">ROAS objetivo para escalar inversión</t>
  </si>
  <si>
    <t xml:space="preserve">x</t>
  </si>
  <si>
    <t xml:space="preserve">Supuesto dado (umbral de escalado)</t>
  </si>
  <si>
    <t xml:space="preserve">Inversión en Ads mes 1</t>
  </si>
  <si>
    <t xml:space="preserve">Crecimiento mensual de Ads si ROAS≥objetivo (Base)</t>
  </si>
  <si>
    <t xml:space="preserve">%/mes</t>
  </si>
  <si>
    <t xml:space="preserve">Crecimiento mensual de Ads (Conservador)</t>
  </si>
  <si>
    <t xml:space="preserve">Estimación: escalado prudente</t>
  </si>
  <si>
    <t xml:space="preserve">Crecimiento mensual de Ads (Agresivo)</t>
  </si>
  <si>
    <t xml:space="preserve">Estimación: escalado agresivo</t>
  </si>
  <si>
    <t xml:space="preserve">Techo mensual de inversión en Ads (Conservador)</t>
  </si>
  <si>
    <t xml:space="preserve">Estimación: límite de saturación de audiencia ES</t>
  </si>
  <si>
    <t xml:space="preserve">Techo mensual de inversión en Ads (Base)</t>
  </si>
  <si>
    <t xml:space="preserve">Techo mensual de inversión en Ads (Agresivo)</t>
  </si>
  <si>
    <t xml:space="preserve">Coste de producto (parches y líquidos)</t>
  </si>
  <si>
    <t xml:space="preserve">Packaging unitario (mínimo)</t>
  </si>
  <si>
    <t xml:space="preserve">$/pack</t>
  </si>
  <si>
    <t xml:space="preserve">Packaging unitario (máximo)</t>
  </si>
  <si>
    <t xml:space="preserve">Packaging unitario (medio)</t>
  </si>
  <si>
    <t xml:space="preserve">Coste de troquel (utillaje)</t>
  </si>
  <si>
    <t xml:space="preserve">$/troquel</t>
  </si>
  <si>
    <t xml:space="preserve">Unidades de amortización del troquel</t>
  </si>
  <si>
    <t xml:space="preserve">Coste de troquel amortizado por unidad</t>
  </si>
  <si>
    <t xml:space="preserve">$/ud</t>
  </si>
  <si>
    <t xml:space="preserve">Amortización lineal 1.000$/3.000 uds</t>
  </si>
  <si>
    <t xml:space="preserve">Flete internacional por unidad</t>
  </si>
  <si>
    <t xml:space="preserve">€/ud</t>
  </si>
  <si>
    <t xml:space="preserve">Arancel Corea (HS 3304.99, acuerdo UE-Corea)</t>
  </si>
  <si>
    <t xml:space="preserve">Acuerdo de libre comercio UE-Corea con declaración de origen</t>
  </si>
  <si>
    <t xml:space="preserve">Arancel China (HS 3304.99, MFN)</t>
  </si>
  <si>
    <t xml:space="preserve">Arancel MFN estándar</t>
  </si>
  <si>
    <t xml:space="preserve">Retención, recompra y suscripción</t>
  </si>
  <si>
    <t xml:space="preserve">Repetición de compra a 90 días (no suscriptores)</t>
  </si>
  <si>
    <t xml:space="preserve">Factor de extensión de repetición a 180 días</t>
  </si>
  <si>
    <t xml:space="preserve">Estimación: acumulación de 2 ventanas de repetición</t>
  </si>
  <si>
    <t xml:space="preserve">Repetición de compra a 180 días (no suscriptores)</t>
  </si>
  <si>
    <t xml:space="preserve">≈ repetición 90d × factor de extensión</t>
  </si>
  <si>
    <t xml:space="preserve">Tasa de suscripción</t>
  </si>
  <si>
    <t xml:space="preserve">Descuento de suscripción sobre AOV</t>
  </si>
  <si>
    <t xml:space="preserve">Estimación: alineado con esquema de Vue (-15%)</t>
  </si>
  <si>
    <t xml:space="preserve">Cadencia de envío de suscripción</t>
  </si>
  <si>
    <t xml:space="preserve">días</t>
  </si>
  <si>
    <t xml:space="preserve">Estimación: cadencia estándar de suscripción skincare</t>
  </si>
  <si>
    <t xml:space="preserve">Pedidos de suscripción adicionales en 90 días</t>
  </si>
  <si>
    <t xml:space="preserve">pedidos</t>
  </si>
  <si>
    <t xml:space="preserve">≈ 90/cadencia − 1 (pedido inicial ya contado aparte)</t>
  </si>
  <si>
    <t xml:space="preserve">Pedidos de suscripción adicionales en 180 días</t>
  </si>
  <si>
    <t xml:space="preserve">≈ 180/cadencia − 1</t>
  </si>
  <si>
    <t xml:space="preserve">Umbral de pedido para envío gratis / regalo</t>
  </si>
  <si>
    <t xml:space="preserve">Supuesto dado (Vue usa 30€ como primer umbral)</t>
  </si>
  <si>
    <t xml:space="preserve">Coste del regalo por umbral</t>
  </si>
  <si>
    <t xml:space="preserve">Gastos operativos fijos (recurrentes)</t>
  </si>
  <si>
    <t xml:space="preserve">Apps de Shopify (adicionales)</t>
  </si>
  <si>
    <t xml:space="preserve">Freelance (diseño/contenido/soporte)</t>
  </si>
  <si>
    <t xml:space="preserve">Inversión inicial — legal, compliance y branding</t>
  </si>
  <si>
    <t xml:space="preserve">Compliance PR/PIF/CPSR/CPNP — 1er SKU</t>
  </si>
  <si>
    <t xml:space="preserve">Supuesto dado (rango 1.500-4.500€, se toma ~4.000€)</t>
  </si>
  <si>
    <t xml:space="preserve">Compliance por SKU adicional</t>
  </si>
  <si>
    <t xml:space="preserve">€/SKU</t>
  </si>
  <si>
    <t xml:space="preserve">Estimación: punto medio del rango 500-1.500€/SKU adicional</t>
  </si>
  <si>
    <t xml:space="preserve">Declaración responsable de importación AEMPS (tasa 5.06)</t>
  </si>
  <si>
    <t xml:space="preserve">Supuesto dado / tasas AEMPS 2026</t>
  </si>
  <si>
    <t xml:space="preserve">Registro de marca EUIPO (1 clase)</t>
  </si>
  <si>
    <t xml:space="preserve">Diseño de marca y packaging</t>
  </si>
  <si>
    <t xml:space="preserve">Web (tema Shopify + apps + configuración)</t>
  </si>
  <si>
    <t xml:space="preserve">Fotos y vídeo de producto</t>
  </si>
  <si>
    <t xml:space="preserve">Coste por creadora UGC</t>
  </si>
  <si>
    <t xml:space="preserve">€/creadora</t>
  </si>
  <si>
    <t xml:space="preserve">Número de creadoras UGC</t>
  </si>
  <si>
    <t xml:space="preserve">creadoras</t>
  </si>
  <si>
    <t xml:space="preserve">Coste de muestras por SKU (sourcing)</t>
  </si>
  <si>
    <t xml:space="preserve">Estimación: muestras + envío de 3-4 proveedores por SKU</t>
  </si>
  <si>
    <t xml:space="preserve">Nº de troqueles personalizados a comprar</t>
  </si>
  <si>
    <t xml:space="preserve">troqueles</t>
  </si>
  <si>
    <t xml:space="preserve">Nariz, superficie, barbilla y frente (granos usa troquel redondo estándar)</t>
  </si>
  <si>
    <t xml:space="preserve">Capital, adquisición de inventario y tesorería</t>
  </si>
  <si>
    <t xml:space="preserve">Capital inicial aportado</t>
  </si>
  <si>
    <t xml:space="preserve">Supuesto dado (aportación de socios/fundador)</t>
  </si>
  <si>
    <t xml:space="preserve">Pedido inicial de inventario (MOQ, 10 SKU)</t>
  </si>
  <si>
    <t xml:space="preserve">Estimación: MOQ agregado de 10 SKU a coste desembarcado</t>
  </si>
  <si>
    <t xml:space="preserve">Depósito a proveedor al confirmar pedido</t>
  </si>
  <si>
    <t xml:space="preserve">% del pedido</t>
  </si>
  <si>
    <t xml:space="preserve">Estimación: práctica habitual de proveedores coreanos/chinos</t>
  </si>
  <si>
    <t xml:space="preserve">Saldo a proveedor antes de envío</t>
  </si>
  <si>
    <t xml:space="preserve">≈ 100% - depósito</t>
  </si>
  <si>
    <t xml:space="preserve">Umbral de reposición (días de cobertura)</t>
  </si>
  <si>
    <t xml:space="preserve">Estimación: gatillo de reorder para evitar rotura de stock</t>
  </si>
  <si>
    <t xml:space="preserve">Cobertura objetivo tras reposición</t>
  </si>
  <si>
    <t xml:space="preserve">Estimación: cobertura de 3 meses de venta</t>
  </si>
  <si>
    <t xml:space="preserve">Días de cobro de Stripe/Shopify Payments (D+n)</t>
  </si>
  <si>
    <t xml:space="preserve">Supuesto dado (liquidación D+2)</t>
  </si>
  <si>
    <t xml:space="preserve">Baja mensual de suscriptores (churn)</t>
  </si>
  <si>
    <t xml:space="preserve">Estimación: churn típico de suscripción skincare DTC</t>
  </si>
  <si>
    <t xml:space="preserve">Gastos operativos fijos adicionales</t>
  </si>
  <si>
    <t xml:space="preserve">Legal / compliance CPNP recurrente</t>
  </si>
  <si>
    <t xml:space="preserve">Estimación: retenedor de asesoría regulatoria y actualización de fichas CPNP</t>
  </si>
  <si>
    <t xml:space="preserve">Gestoría / contabilidad</t>
  </si>
  <si>
    <t xml:space="preserve">Estimación: cuota de gestoría para PYME en España</t>
  </si>
  <si>
    <t xml:space="preserve">Muestras de producto (I+D / control de calidad)</t>
  </si>
  <si>
    <t xml:space="preserve">Estimación: muestras de reposición y control de calidad continuo</t>
  </si>
  <si>
    <t xml:space="preserve">Curva de eficiencia de adquisición (CPA)</t>
  </si>
  <si>
    <t xml:space="preserve">CPA mes 1 (Base)</t>
  </si>
  <si>
    <t xml:space="preserve">CPA mes 6+ / suelo (Base)</t>
  </si>
  <si>
    <t xml:space="preserve">Escenario activo (afecta a PyG, Caja y Punto muerto)</t>
  </si>
  <si>
    <t xml:space="preserve">Escenario seleccionado (1=Pesimista, 2=Base, 3=Optimista)</t>
  </si>
  <si>
    <t xml:space="preserve">1-2-3</t>
  </si>
  <si>
    <t xml:space="preserve">Selector: cambiar este valor recalcula todo el modelo</t>
  </si>
  <si>
    <t xml:space="preserve">CPA mes 1 — escenario activo</t>
  </si>
  <si>
    <t xml:space="preserve">CHOOSE según selector de escenario</t>
  </si>
  <si>
    <t xml:space="preserve">CPA mes 6+ — escenario activo</t>
  </si>
  <si>
    <t xml:space="preserve">Multiplicador de AOV — escenario activo</t>
  </si>
  <si>
    <t xml:space="preserve">AOV — escenario activo</t>
  </si>
  <si>
    <t xml:space="preserve">≈ AOV base × multiplicador de escenario</t>
  </si>
  <si>
    <t xml:space="preserve">Crecimiento mensual de Ads — escenario activo</t>
  </si>
  <si>
    <t xml:space="preserve">Techo mensual de Ads — escenario activo</t>
  </si>
  <si>
    <t xml:space="preserve">Tasa de suscripción — escenario activo</t>
  </si>
  <si>
    <t xml:space="preserve">Repetición de compra 90 días — escenario activo</t>
  </si>
  <si>
    <t xml:space="preserve">NOCTA — Unit economics por SKU (Corea vs. China)</t>
  </si>
  <si>
    <t xml:space="preserve">Costes de fábrica a nivel de pack completo (no por pieza individual). Los bundles suman el coste de sus componentes.</t>
  </si>
  <si>
    <t xml:space="preserve">SKU</t>
  </si>
  <si>
    <t xml:space="preserve">Tipo</t>
  </si>
  <si>
    <t xml:space="preserve">Uds/
pack</t>
  </si>
  <si>
    <t xml:space="preserve">PVP
con IVA</t>
  </si>
  <si>
    <t xml:space="preserve">PVP
sin IVA</t>
  </si>
  <si>
    <t xml:space="preserve">Coste KR
mín ($)</t>
  </si>
  <si>
    <t xml:space="preserve">Coste KR
máx ($)</t>
  </si>
  <si>
    <t xml:space="preserve">Coste KR
medio ($)</t>
  </si>
  <si>
    <t xml:space="preserve">Coste CN
mín ($)</t>
  </si>
  <si>
    <t xml:space="preserve">Coste CN
máx ($)</t>
  </si>
  <si>
    <t xml:space="preserve">Coste CN
medio ($)</t>
  </si>
  <si>
    <t xml:space="preserve">Packaging
($)</t>
  </si>
  <si>
    <t xml:space="preserve">Troquel
($)</t>
  </si>
  <si>
    <t xml:space="preserve">Flete
(€)</t>
  </si>
  <si>
    <t xml:space="preserve">Desembar-
cado KR (€)</t>
  </si>
  <si>
    <t xml:space="preserve">Desembar-
cado CN (€)</t>
  </si>
  <si>
    <t xml:space="preserve">Margen
bruto KR (€)</t>
  </si>
  <si>
    <t xml:space="preserve">Margen
bruto KR (%)</t>
  </si>
  <si>
    <t xml:space="preserve">Margen
bruto CN (€)</t>
  </si>
  <si>
    <t xml:space="preserve">Margen
bruto CN (%)</t>
  </si>
  <si>
    <t xml:space="preserve">Pasarela
(€)</t>
  </si>
  <si>
    <t xml:space="preserve">Envío
(€)</t>
  </si>
  <si>
    <t xml:space="preserve">Pick&amp;pack
(€)</t>
  </si>
  <si>
    <t xml:space="preserve">Pack.
envío (€)</t>
  </si>
  <si>
    <t xml:space="preserve">Devol.
KR (€)</t>
  </si>
  <si>
    <t xml:space="preserve">Margen
contrib. KR (€)</t>
  </si>
  <si>
    <t xml:space="preserve">Margen
contrib. KR (%)</t>
  </si>
  <si>
    <t xml:space="preserve">Devol.
CN (€)</t>
  </si>
  <si>
    <t xml:space="preserve">Margen
contrib. CN (€)</t>
  </si>
  <si>
    <t xml:space="preserve">Mix ventas
(% pedidos)</t>
  </si>
  <si>
    <t xml:space="preserve">1. Parches nariz (8 uds)</t>
  </si>
  <si>
    <t xml:space="preserve">Parche</t>
  </si>
  <si>
    <t xml:space="preserve">2. Parches granos (36 pts)</t>
  </si>
  <si>
    <t xml:space="preserve">3. Parches superficie (10 uds)</t>
  </si>
  <si>
    <t xml:space="preserve">4. Parches barbilla (8 uds)</t>
  </si>
  <si>
    <t xml:space="preserve">5. Parches frente (5 uds)</t>
  </si>
  <si>
    <t xml:space="preserve">6. Exfoliante salicílico 2% 110ml</t>
  </si>
  <si>
    <t xml:space="preserve">Líquido</t>
  </si>
  <si>
    <t xml:space="preserve">7. Sérum niacinamida 30ml</t>
  </si>
  <si>
    <t xml:space="preserve">8. Peel-off colágeno 70ml</t>
  </si>
  <si>
    <t xml:space="preserve">9. Pack 4 sheet masks</t>
  </si>
  <si>
    <t xml:space="preserve">10. Tónico hialurónico 130ml</t>
  </si>
  <si>
    <t xml:space="preserve">Bundle Duo (nariz + exfoliante)</t>
  </si>
  <si>
    <t xml:space="preserve">Bundle</t>
  </si>
  <si>
    <t xml:space="preserve">n/a (suma componentes)</t>
  </si>
  <si>
    <t xml:space="preserve">n/a</t>
  </si>
  <si>
    <t xml:space="preserve">Bundle T-Zone (frente + nariz + barbilla)</t>
  </si>
  <si>
    <t xml:space="preserve">Bundle Full Face (nariz+superficie+barbilla+frente+granos)</t>
  </si>
  <si>
    <t xml:space="preserve">MEDIA PONDERADA POR MIX DE VENTAS</t>
  </si>
  <si>
    <t xml:space="preserve">NOCTA — Cuenta de resultados (PyG) mensual, meses 1-12</t>
  </si>
  <si>
    <t xml:space="preserve">Importes en € con IVA salvo 'neto de IVA'. Todos los drivers (azul) están en Supuestos/Escenarios; aquí solo hay fórmulas.</t>
  </si>
  <si>
    <t xml:space="preserve">Concepto</t>
  </si>
  <si>
    <t xml:space="preserve">Total / Prom. año 1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</si>
  <si>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</si>
  <si>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</si>
  <si>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</si>
  <si>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</si>
  <si>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</si>
  <si>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</si>
  <si>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</si>
  <si>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</si>
  <si>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</si>
  <si>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</si>
  <si>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</si>
  <si>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</si>
  <si>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Adquisición, pedidos y suscripción</t>
  </si>
  <si>
    <t xml:space="preserve">CPA activo (€/pedido nuevo)</t>
  </si>
  <si>
    <t xml:space="preserve">Inversión en Ads (€)</t>
  </si>
  <si>
    <t xml:space="preserve">Pedidos nuevos (uds)</t>
  </si>
  <si>
    <t xml:space="preserve">Nuevos suscriptores (uds)</t>
  </si>
  <si>
    <t xml:space="preserve">Suscriptores activos (stock)</t>
  </si>
  <si>
    <t xml:space="preserve">Pedidos de suscripción (uds)</t>
  </si>
  <si>
    <t xml:space="preserve">Pedidos de recompra no-suscriptores (uds)</t>
  </si>
  <si>
    <t xml:space="preserve">Pedidos totales (uds)</t>
  </si>
  <si>
    <t xml:space="preserve">AOV medio ponderado (€, con IVA)</t>
  </si>
  <si>
    <t xml:space="preserve">Ingresos (ventas, con IVA) (€)</t>
  </si>
  <si>
    <t xml:space="preserve">Ingresos netos de IVA (€)</t>
  </si>
  <si>
    <t xml:space="preserve">Costes variables</t>
  </si>
  <si>
    <t xml:space="preserve">COGS — coste desembarcado (€)</t>
  </si>
  <si>
    <t xml:space="preserve">Comisión pasarela de pago (€)</t>
  </si>
  <si>
    <t xml:space="preserve">Envío a cliente (€)</t>
  </si>
  <si>
    <t xml:space="preserve">Logística 3PL pick&amp;pack (€)</t>
  </si>
  <si>
    <t xml:space="preserve">Packaging de envío (€)</t>
  </si>
  <si>
    <t xml:space="preserve">Devoluciones (impacto neto) (€)</t>
  </si>
  <si>
    <t xml:space="preserve">Total costes variables (€)</t>
  </si>
  <si>
    <t xml:space="preserve">Margen bruto (€)</t>
  </si>
  <si>
    <t xml:space="preserve">Margen bruto (%)</t>
  </si>
  <si>
    <t xml:space="preserve">Costes fijos</t>
  </si>
  <si>
    <t xml:space="preserve">Shopify (plan Basic) (€)</t>
  </si>
  <si>
    <t xml:space="preserve">Apps de Shopify (€)</t>
  </si>
  <si>
    <t xml:space="preserve">Freelance diseño/soporte (€)</t>
  </si>
  <si>
    <t xml:space="preserve">Salarios (€)</t>
  </si>
  <si>
    <t xml:space="preserve">Legal / CPNP recurrente (€)</t>
  </si>
  <si>
    <t xml:space="preserve">Gestoría / contabilidad (€)</t>
  </si>
  <si>
    <t xml:space="preserve">Muestras I+D / calidad (€)</t>
  </si>
  <si>
    <t xml:space="preserve">Total costes fijos (€)</t>
  </si>
  <si>
    <t xml:space="preserve">Resultado</t>
  </si>
  <si>
    <t xml:space="preserve">Margen de contribución (€)</t>
  </si>
  <si>
    <t xml:space="preserve">Margen de contribución (%)</t>
  </si>
  <si>
    <t xml:space="preserve">EBITDA (€)</t>
  </si>
  <si>
    <t xml:space="preserve">EBITDA (%)</t>
  </si>
  <si>
    <t xml:space="preserve">EBITDA acumulado (€)</t>
  </si>
  <si>
    <t xml:space="preserve">Indicador de escalado de Ads</t>
  </si>
  <si>
    <t xml:space="preserve">ROAS mensual (ingresos netos / Ads)</t>
  </si>
  <si>
    <t xml:space="preserve">NOCTA — Tesorería mensual (Mes 0 = prelanzamiento)</t>
  </si>
  <si>
    <t xml:space="preserve">Mes 0 incluye la inversión inicial (legal, marca, web, muestras, troqueles) y el depósito del primer pedido de inventario.</t>
  </si>
  <si>
    <t xml:space="preserve">Total año 1</t>
  </si>
  <si>
    <t xml:space="preserve">Mes 0</t>
  </si>
  <si>
    <t xml:space="preserve">Inversión inicial (Mes 0, pago único)</t>
  </si>
  <si>
    <t xml:space="preserve">Compliance PR/CPSR/CPNP (10 SKU) (€)</t>
  </si>
  <si>
    <t xml:space="preserve">Declaración AEMPS (€)</t>
  </si>
  <si>
    <t xml:space="preserve">Registro de marca EUIPO (€)</t>
  </si>
  <si>
    <t xml:space="preserve">Diseño de marca y packaging (€)</t>
  </si>
  <si>
    <t xml:space="preserve">Web (Shopify + apps) (€)</t>
  </si>
  <si>
    <t xml:space="preserve">Fotos y vídeo de producto (€)</t>
  </si>
  <si>
    <t xml:space="preserve">Creadoras UGC (€)</t>
  </si>
  <si>
    <t xml:space="preserve">Muestras de sourcing (10 SKU) (€)</t>
  </si>
  <si>
    <t xml:space="preserve">Troqueles personalizados (€)</t>
  </si>
  <si>
    <t xml:space="preserve">Total inversión inicial (€)</t>
  </si>
  <si>
    <t xml:space="preserve">Inventario</t>
  </si>
  <si>
    <t xml:space="preserve">COGS del mes (de PyG) (€)</t>
  </si>
  <si>
    <t xml:space="preserve">Inventario recibido (€, a coste desembarcado)</t>
  </si>
  <si>
    <t xml:space="preserve">Días de cobertura de stock</t>
  </si>
  <si>
    <t xml:space="preserve">Pedido de reposición generado (€)</t>
  </si>
  <si>
    <t xml:space="preserve">Pago depósito 30% a proveedor (€)</t>
  </si>
  <si>
    <t xml:space="preserve">Pago saldo 70% a proveedor (€)</t>
  </si>
  <si>
    <t xml:space="preserve">Inventario en balance, fin de mes (€)</t>
  </si>
  <si>
    <t xml:space="preserve">Cobros y pagos operativos</t>
  </si>
  <si>
    <t xml:space="preserve">Cobros de clientes (Stripe, D+2) (€)</t>
  </si>
  <si>
    <t xml:space="preserve">Pago costes variables no-COGS (€)</t>
  </si>
  <si>
    <t xml:space="preserve">Pago costes fijos (€)</t>
  </si>
  <si>
    <t xml:space="preserve">Pago inversión en Ads (€)</t>
  </si>
  <si>
    <t xml:space="preserve">IVA devengado del mes (repercutido - soportado) (€)</t>
  </si>
  <si>
    <t xml:space="preserve">IVA liquidado (pago trimestral) (€)</t>
  </si>
  <si>
    <t xml:space="preserve">Resumen de caja</t>
  </si>
  <si>
    <t xml:space="preserve">Caja inicial del mes (€)</t>
  </si>
  <si>
    <t xml:space="preserve">Total entradas (€)</t>
  </si>
  <si>
    <t xml:space="preserve">Total salidas (€)</t>
  </si>
  <si>
    <t xml:space="preserve">Caja final del mes (€)</t>
  </si>
  <si>
    <t xml:space="preserve">Caja mínima alcanzada (€)</t>
  </si>
  <si>
    <t xml:space="preserve">Mes de caja mínima</t>
  </si>
  <si>
    <t xml:space="preserve">NOCTA — Punto muerto (break-even) mensual</t>
  </si>
  <si>
    <t xml:space="preserve">Calculado sobre el mix de ventas medio ponderado (hoja Unit Economics SKU) y los costes fijos del escenario activo.</t>
  </si>
  <si>
    <t xml:space="preserve">Nota</t>
  </si>
  <si>
    <t xml:space="preserve">AOV medio ponderado (€, con IVA, escenario activo)</t>
  </si>
  <si>
    <t xml:space="preserve">Coherente con la hoja PyG: el AOV incluye ~1,6 packs/SKU por pedido (Supuestos!uds_pedido).</t>
  </si>
  <si>
    <t xml:space="preserve">Margen de contribución medio por pedido (€, tras COGS/logística/pasarela, antes de Ads)</t>
  </si>
  <si>
    <t xml:space="preserve">Misma fórmula por pedido que usa la hoja PyG (COGS y devoluciones escalados por uds/pedido).</t>
  </si>
  <si>
    <t xml:space="preserve">Costes fijos mensuales totales (€)</t>
  </si>
  <si>
    <t xml:space="preserve">CPA máximo rentable en el primer pedido (€)</t>
  </si>
  <si>
    <t xml:space="preserve">Si el CPA supera el margen de contribución por pedido, cada venta nueva pierde dinero incluso antes de costes fijos.</t>
  </si>
  <si>
    <t xml:space="preserve">Punto muerto — pedidos/mes</t>
  </si>
  <si>
    <t xml:space="preserve">Punto muerto — ingresos/mes (€, con IVA)</t>
  </si>
  <si>
    <t xml:space="preserve">Techo de inversión en Ads del escenario activo (€/mes)</t>
  </si>
  <si>
    <t xml:space="preserve">Sensibilidad: margen de contribución mensual según CPA × AOV</t>
  </si>
  <si>
    <t xml:space="preserve">Para un presupuesto de Ads fijo (referencia: mes 12 del escenario activo). Pedidos = Presupuesto/CPA. Coste variable no-marketing asumido constante en € por pedido (media ponderada del mix), salvo la comisión de pago, que escala con el AOV.</t>
  </si>
  <si>
    <t xml:space="preserve">Presupuesto de Ads de referencia (€/mes)</t>
  </si>
  <si>
    <t xml:space="preserve">CPA \ AOV →</t>
  </si>
  <si>
    <t xml:space="preserve">NOCTA — Escenarios (Pesimista / Base / Optimista)</t>
  </si>
  <si>
    <t xml:space="preserve">Cambia el selector en Supuestos ('Escenario seleccionado') para recalcular PyG, Caja y Punto muerto con estos supuestos.</t>
  </si>
  <si>
    <t xml:space="preserve">Pesimista</t>
  </si>
  <si>
    <t xml:space="preserve">Base</t>
  </si>
  <si>
    <t xml:space="preserve">Optimista</t>
  </si>
  <si>
    <t xml:space="preserve">CPA mes 1 (€/pedido)</t>
  </si>
  <si>
    <t xml:space="preserve">Pesimista: peor eficiencia de creatividades. Optimista: mejor product-market fit / UGC.</t>
  </si>
  <si>
    <t xml:space="preserve">CPA mes 6+ / suelo (€/pedido)</t>
  </si>
  <si>
    <t xml:space="preserve">Suelo de CPA alcanzado tras optimización de campañas.</t>
  </si>
  <si>
    <t xml:space="preserve">Multiplicador de AOV (x)</t>
  </si>
  <si>
    <t xml:space="preserve">Pesimista: más descuentos/menor mix de bundles. Optimista: mayor adopción de bundles.</t>
  </si>
  <si>
    <t xml:space="preserve">Crecimiento mensual de Ads (%)</t>
  </si>
  <si>
    <t xml:space="preserve">Enlazado a Supuestos (Conservador/Base/Agresivo).</t>
  </si>
  <si>
    <t xml:space="preserve">Techo mensual de Ads (€)</t>
  </si>
  <si>
    <t xml:space="preserve">Tasa de suscripción (%)</t>
  </si>
  <si>
    <t xml:space="preserve">Pesimista: menor adopción de suscripción. Optimista: mejor oferta/onboarding de suscripción.</t>
  </si>
  <si>
    <t xml:space="preserve">Repetición de compra a 90 días (%)</t>
  </si>
  <si>
    <t xml:space="preserve">Pesimista/optimista sobre el ratio de recompra de no-suscriptores.</t>
  </si>
  <si>
    <t xml:space="preserve">Resultados clave por escenario (recalcula al cambiar el selector en Supuestos)</t>
  </si>
  <si>
    <t xml:space="preserve">Indicador (escenario activo)</t>
  </si>
  <si>
    <t xml:space="preserve">Escenario activo (1/2/3)</t>
  </si>
  <si>
    <t xml:space="preserve">Ingresos netos de IVA, mes 12 (€)</t>
  </si>
  <si>
    <t xml:space="preserve">EBITDA, mes 12 (€)</t>
  </si>
  <si>
    <t xml:space="preserve">EBITDA acumulado, año 1 (€)</t>
  </si>
  <si>
    <t xml:space="preserve">Caja final, mes 12 (€)</t>
  </si>
  <si>
    <t xml:space="preserve">Caja mínima del año (€)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</si>
</sst>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0"/>
    <numFmt numFmtId="166" formatCode="0.0%"/>
    <numFmt numFmtId="167" formatCode="#,##0.00&quot; €&quot;"/>
    <numFmt numFmtId="168" formatCode="0.00%"/>
    <numFmt numFmtId="169" formatCode="0.00"/>
    <numFmt numFmtId="170" formatCode="0.00\x"/>
    <numFmt numFmtId="171" formatCode="#,##0&quot; €&quot;"/>
    <numFmt numFmtId="172" formatCode="\$#,##0.00"/>
    <numFmt numFmtId="173" formatCode="#,##0"/>
    <numFmt numFmtId="174" formatCode="\$#,##0.0000"/>
    <numFmt numFmtId="175" formatCode="0"/>
    <numFmt numFmtId="176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</row>
    <row r="5" customFormat="false" ht="15" hidden="false" customHeight="true" outlineLevel="0" collapsed="false">
      <c r="A5" s="5" t="s">
        <v>6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7</v>
      </c>
      <c r="B6" s="7" t="n">
        <v>0.92</v>
      </c>
      <c r="C6" s="8" t="s">
        <v>8</v>
      </c>
      <c r="D6" s="9" t="s">
        <v>9</v>
      </c>
    </row>
    <row r="7" customFormat="false" ht="15" hidden="false" customHeight="false" outlineLevel="0" collapsed="false">
      <c r="A7" s="6" t="s">
        <v>10</v>
      </c>
      <c r="B7" s="10" t="n">
        <v>0.21</v>
      </c>
      <c r="C7" s="8" t="s">
        <v>11</v>
      </c>
      <c r="D7" s="9" t="s">
        <v>12</v>
      </c>
    </row>
    <row r="8" customFormat="false" ht="15" hidden="false" customHeight="false" outlineLevel="0" collapsed="false">
      <c r="A8" s="11"/>
      <c r="B8" s="12"/>
      <c r="C8" s="12"/>
      <c r="D8" s="11"/>
    </row>
    <row r="9" customFormat="false" ht="15" hidden="false" customHeight="true" outlineLevel="0" collapsed="false">
      <c r="A9" s="5" t="s">
        <v>13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 t="s">
        <v>14</v>
      </c>
      <c r="B10" s="13" t="n">
        <v>27</v>
      </c>
      <c r="C10" s="8" t="s">
        <v>15</v>
      </c>
      <c r="D10" s="9" t="s">
        <v>16</v>
      </c>
    </row>
    <row r="11" customFormat="false" ht="15" hidden="false" customHeight="false" outlineLevel="0" collapsed="false">
      <c r="A11" s="6" t="s">
        <v>17</v>
      </c>
      <c r="B11" s="13" t="n">
        <v>79</v>
      </c>
      <c r="C11" s="8" t="s">
        <v>15</v>
      </c>
      <c r="D11" s="9" t="s">
        <v>16</v>
      </c>
    </row>
    <row r="12" customFormat="false" ht="15" hidden="false" customHeight="false" outlineLevel="0" collapsed="false">
      <c r="A12" s="6" t="s">
        <v>18</v>
      </c>
      <c r="B12" s="14" t="n">
        <v>0.019</v>
      </c>
      <c r="C12" s="8" t="s">
        <v>19</v>
      </c>
      <c r="D12" s="9" t="s">
        <v>20</v>
      </c>
    </row>
    <row r="13" customFormat="false" ht="15" hidden="false" customHeight="false" outlineLevel="0" collapsed="false">
      <c r="A13" s="6" t="s">
        <v>21</v>
      </c>
      <c r="B13" s="13" t="n">
        <v>0.25</v>
      </c>
      <c r="C13" s="8" t="s">
        <v>22</v>
      </c>
      <c r="D13" s="9" t="s">
        <v>20</v>
      </c>
    </row>
    <row r="14" customFormat="false" ht="15" hidden="false" customHeight="false" outlineLevel="0" collapsed="false">
      <c r="A14" s="6" t="s">
        <v>23</v>
      </c>
      <c r="B14" s="14" t="n">
        <v>0.0249</v>
      </c>
      <c r="C14" s="8" t="s">
        <v>19</v>
      </c>
      <c r="D14" s="9" t="s">
        <v>20</v>
      </c>
    </row>
    <row r="15" customFormat="false" ht="15" hidden="false" customHeight="false" outlineLevel="0" collapsed="false">
      <c r="A15" s="6" t="s">
        <v>24</v>
      </c>
      <c r="B15" s="13" t="n">
        <v>0.35</v>
      </c>
      <c r="C15" s="8" t="s">
        <v>22</v>
      </c>
      <c r="D15" s="9" t="s">
        <v>20</v>
      </c>
    </row>
    <row r="16" customFormat="false" ht="15" hidden="false" customHeight="false" outlineLevel="0" collapsed="false">
      <c r="A16" s="11"/>
      <c r="B16" s="12"/>
      <c r="C16" s="12"/>
      <c r="D16" s="11"/>
    </row>
    <row r="17" customFormat="false" ht="15" hidden="false" customHeight="true" outlineLevel="0" collapsed="false">
      <c r="A17" s="5" t="s">
        <v>25</v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6" t="s">
        <v>26</v>
      </c>
      <c r="B18" s="13" t="n">
        <v>3.5</v>
      </c>
      <c r="C18" s="8" t="s">
        <v>27</v>
      </c>
      <c r="D18" s="9" t="s">
        <v>20</v>
      </c>
    </row>
    <row r="19" customFormat="false" ht="15" hidden="false" customHeight="false" outlineLevel="0" collapsed="false">
      <c r="A19" s="6" t="s">
        <v>28</v>
      </c>
      <c r="B19" s="13" t="n">
        <v>4.5</v>
      </c>
      <c r="C19" s="8" t="s">
        <v>27</v>
      </c>
      <c r="D19" s="9" t="s">
        <v>20</v>
      </c>
    </row>
    <row r="20" customFormat="false" ht="15" hidden="false" customHeight="false" outlineLevel="0" collapsed="false">
      <c r="A20" s="6" t="s">
        <v>29</v>
      </c>
      <c r="B20" s="15" t="n">
        <f aca="false">AVERAGE(B18:B19)</f>
        <v>4</v>
      </c>
      <c r="C20" s="8" t="s">
        <v>27</v>
      </c>
      <c r="D20" s="9" t="s">
        <v>30</v>
      </c>
    </row>
    <row r="21" customFormat="false" ht="15" hidden="false" customHeight="false" outlineLevel="0" collapsed="false">
      <c r="A21" s="6" t="s">
        <v>31</v>
      </c>
      <c r="B21" s="13" t="n">
        <v>6</v>
      </c>
      <c r="C21" s="8" t="s">
        <v>27</v>
      </c>
      <c r="D21" s="9" t="s">
        <v>20</v>
      </c>
    </row>
    <row r="22" customFormat="false" ht="15" hidden="false" customHeight="false" outlineLevel="0" collapsed="false">
      <c r="A22" s="6" t="s">
        <v>32</v>
      </c>
      <c r="B22" s="13" t="n">
        <v>9</v>
      </c>
      <c r="C22" s="8" t="s">
        <v>27</v>
      </c>
      <c r="D22" s="9" t="s">
        <v>20</v>
      </c>
    </row>
    <row r="23" customFormat="false" ht="15" hidden="false" customHeight="false" outlineLevel="0" collapsed="false">
      <c r="A23" s="6" t="s">
        <v>33</v>
      </c>
      <c r="B23" s="10" t="n">
        <v>0.9</v>
      </c>
      <c r="C23" s="8" t="s">
        <v>11</v>
      </c>
      <c r="D23" s="9" t="s">
        <v>34</v>
      </c>
    </row>
    <row r="24" customFormat="false" ht="15" hidden="false" customHeight="false" outlineLevel="0" collapsed="false">
      <c r="A24" s="6" t="s">
        <v>35</v>
      </c>
      <c r="B24" s="10" t="n">
        <v>0.05</v>
      </c>
      <c r="C24" s="8" t="s">
        <v>11</v>
      </c>
      <c r="D24" s="9" t="s">
        <v>36</v>
      </c>
    </row>
    <row r="25" customFormat="false" ht="15" hidden="false" customHeight="false" outlineLevel="0" collapsed="false">
      <c r="A25" s="6" t="s">
        <v>37</v>
      </c>
      <c r="B25" s="10" t="n">
        <v>0.05</v>
      </c>
      <c r="C25" s="8" t="s">
        <v>11</v>
      </c>
      <c r="D25" s="9" t="s">
        <v>36</v>
      </c>
    </row>
    <row r="26" customFormat="false" ht="15" hidden="false" customHeight="false" outlineLevel="0" collapsed="false">
      <c r="A26" s="6" t="s">
        <v>38</v>
      </c>
      <c r="B26" s="15" t="n">
        <f aca="false">B20*B23+B21*B24+B22*B25</f>
        <v>4.35</v>
      </c>
      <c r="C26" s="8" t="s">
        <v>27</v>
      </c>
      <c r="D26" s="9" t="s">
        <v>39</v>
      </c>
    </row>
    <row r="27" customFormat="false" ht="15" hidden="false" customHeight="false" outlineLevel="0" collapsed="false">
      <c r="A27" s="11"/>
      <c r="B27" s="12"/>
      <c r="C27" s="12"/>
      <c r="D27" s="11"/>
    </row>
    <row r="28" customFormat="false" ht="15" hidden="false" customHeight="true" outlineLevel="0" collapsed="false">
      <c r="A28" s="5" t="s">
        <v>40</v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6" t="s">
        <v>41</v>
      </c>
      <c r="B29" s="13" t="n">
        <v>2.2</v>
      </c>
      <c r="C29" s="8" t="s">
        <v>42</v>
      </c>
      <c r="D29" s="9" t="s">
        <v>20</v>
      </c>
    </row>
    <row r="30" customFormat="false" ht="15" hidden="false" customHeight="false" outlineLevel="0" collapsed="false">
      <c r="A30" s="6" t="s">
        <v>43</v>
      </c>
      <c r="B30" s="13" t="n">
        <v>2.8</v>
      </c>
      <c r="C30" s="8" t="s">
        <v>42</v>
      </c>
      <c r="D30" s="9" t="s">
        <v>20</v>
      </c>
    </row>
    <row r="31" customFormat="false" ht="15" hidden="false" customHeight="false" outlineLevel="0" collapsed="false">
      <c r="A31" s="6" t="s">
        <v>44</v>
      </c>
      <c r="B31" s="15" t="n">
        <f aca="false">AVERAGE(B29:B30)</f>
        <v>2.5</v>
      </c>
      <c r="C31" s="8" t="s">
        <v>42</v>
      </c>
      <c r="D31" s="9" t="s">
        <v>30</v>
      </c>
    </row>
    <row r="32" customFormat="false" ht="15" hidden="false" customHeight="false" outlineLevel="0" collapsed="false">
      <c r="A32" s="6" t="s">
        <v>45</v>
      </c>
      <c r="B32" s="13" t="n">
        <v>0.45</v>
      </c>
      <c r="C32" s="8" t="s">
        <v>46</v>
      </c>
      <c r="D32" s="9" t="s">
        <v>20</v>
      </c>
    </row>
    <row r="33" customFormat="false" ht="15" hidden="false" customHeight="false" outlineLevel="0" collapsed="false">
      <c r="A33" s="6" t="s">
        <v>47</v>
      </c>
      <c r="B33" s="13" t="n">
        <v>0.35</v>
      </c>
      <c r="C33" s="8" t="s">
        <v>42</v>
      </c>
      <c r="D33" s="9" t="s">
        <v>20</v>
      </c>
    </row>
    <row r="34" customFormat="false" ht="15" hidden="false" customHeight="false" outlineLevel="0" collapsed="false">
      <c r="A34" s="6" t="s">
        <v>48</v>
      </c>
      <c r="B34" s="10" t="n">
        <v>0.03</v>
      </c>
      <c r="C34" s="8" t="s">
        <v>11</v>
      </c>
      <c r="D34" s="9" t="s">
        <v>20</v>
      </c>
    </row>
    <row r="35" customFormat="false" ht="15" hidden="false" customHeight="false" outlineLevel="0" collapsed="false">
      <c r="A35" s="11"/>
      <c r="B35" s="12"/>
      <c r="C35" s="12"/>
      <c r="D35" s="11"/>
    </row>
    <row r="36" customFormat="false" ht="15" hidden="false" customHeight="true" outlineLevel="0" collapsed="false">
      <c r="A36" s="5" t="s">
        <v>49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6" t="s">
        <v>50</v>
      </c>
      <c r="B37" s="13" t="n">
        <v>6</v>
      </c>
      <c r="C37" s="8" t="s">
        <v>27</v>
      </c>
      <c r="D37" s="9" t="s">
        <v>20</v>
      </c>
    </row>
    <row r="38" customFormat="false" ht="15" hidden="false" customHeight="false" outlineLevel="0" collapsed="false">
      <c r="A38" s="6" t="s">
        <v>51</v>
      </c>
      <c r="B38" s="13" t="n">
        <v>9</v>
      </c>
      <c r="C38" s="8" t="s">
        <v>27</v>
      </c>
      <c r="D38" s="9" t="s">
        <v>20</v>
      </c>
    </row>
    <row r="39" customFormat="false" ht="15" hidden="false" customHeight="false" outlineLevel="0" collapsed="false">
      <c r="A39" s="6" t="s">
        <v>52</v>
      </c>
      <c r="B39" s="15" t="n">
        <f aca="false">AVERAGE(B37:B38)</f>
        <v>7.5</v>
      </c>
      <c r="C39" s="8" t="s">
        <v>27</v>
      </c>
      <c r="D39" s="9" t="s">
        <v>30</v>
      </c>
    </row>
    <row r="40" customFormat="false" ht="15" hidden="false" customHeight="false" outlineLevel="0" collapsed="false">
      <c r="A40" s="6" t="s">
        <v>53</v>
      </c>
      <c r="B40" s="14" t="n">
        <v>0.012</v>
      </c>
      <c r="C40" s="8" t="s">
        <v>11</v>
      </c>
      <c r="D40" s="9" t="s">
        <v>20</v>
      </c>
    </row>
    <row r="41" customFormat="false" ht="15" hidden="false" customHeight="false" outlineLevel="0" collapsed="false">
      <c r="A41" s="6" t="s">
        <v>54</v>
      </c>
      <c r="B41" s="14" t="n">
        <v>0.022</v>
      </c>
      <c r="C41" s="8" t="s">
        <v>11</v>
      </c>
      <c r="D41" s="9" t="s">
        <v>55</v>
      </c>
    </row>
    <row r="42" customFormat="false" ht="15" hidden="false" customHeight="false" outlineLevel="0" collapsed="false">
      <c r="A42" s="6" t="s">
        <v>56</v>
      </c>
      <c r="B42" s="14" t="n">
        <v>0.016</v>
      </c>
      <c r="C42" s="8" t="s">
        <v>11</v>
      </c>
      <c r="D42" s="9" t="s">
        <v>57</v>
      </c>
    </row>
    <row r="43" customFormat="false" ht="15" hidden="false" customHeight="false" outlineLevel="0" collapsed="false">
      <c r="A43" s="6" t="s">
        <v>58</v>
      </c>
      <c r="B43" s="14" t="n">
        <v>0.028</v>
      </c>
      <c r="C43" s="8" t="s">
        <v>11</v>
      </c>
      <c r="D43" s="9" t="s">
        <v>59</v>
      </c>
    </row>
    <row r="44" customFormat="false" ht="15" hidden="false" customHeight="false" outlineLevel="0" collapsed="false">
      <c r="A44" s="6" t="s">
        <v>60</v>
      </c>
      <c r="B44" s="13" t="n">
        <v>38</v>
      </c>
      <c r="C44" s="8" t="s">
        <v>27</v>
      </c>
      <c r="D44" s="9" t="s">
        <v>20</v>
      </c>
    </row>
    <row r="45" customFormat="false" ht="15" hidden="false" customHeight="false" outlineLevel="0" collapsed="false">
      <c r="A45" s="6" t="s">
        <v>61</v>
      </c>
      <c r="B45" s="16" t="n">
        <v>1.6</v>
      </c>
      <c r="C45" s="8" t="s">
        <v>62</v>
      </c>
      <c r="D45" s="9" t="s">
        <v>20</v>
      </c>
    </row>
    <row r="46" customFormat="false" ht="15" hidden="false" customHeight="false" outlineLevel="0" collapsed="false">
      <c r="A46" s="6" t="s">
        <v>63</v>
      </c>
      <c r="B46" s="17" t="n">
        <v>2.5</v>
      </c>
      <c r="C46" s="8" t="s">
        <v>64</v>
      </c>
      <c r="D46" s="9" t="s">
        <v>65</v>
      </c>
    </row>
    <row r="47" customFormat="false" ht="15" hidden="false" customHeight="false" outlineLevel="0" collapsed="false">
      <c r="A47" s="6" t="s">
        <v>66</v>
      </c>
      <c r="B47" s="18" t="n">
        <v>3000</v>
      </c>
      <c r="C47" s="8" t="s">
        <v>27</v>
      </c>
      <c r="D47" s="9" t="s">
        <v>20</v>
      </c>
    </row>
    <row r="48" customFormat="false" ht="15" hidden="false" customHeight="false" outlineLevel="0" collapsed="false">
      <c r="A48" s="6" t="s">
        <v>67</v>
      </c>
      <c r="B48" s="10" t="n">
        <v>0.2</v>
      </c>
      <c r="C48" s="8" t="s">
        <v>68</v>
      </c>
      <c r="D48" s="9" t="s">
        <v>20</v>
      </c>
    </row>
    <row r="49" customFormat="false" ht="15" hidden="false" customHeight="false" outlineLevel="0" collapsed="false">
      <c r="A49" s="6" t="s">
        <v>69</v>
      </c>
      <c r="B49" s="10" t="n">
        <v>0.08</v>
      </c>
      <c r="C49" s="8" t="s">
        <v>68</v>
      </c>
      <c r="D49" s="9" t="s">
        <v>70</v>
      </c>
    </row>
    <row r="50" customFormat="false" ht="15" hidden="false" customHeight="false" outlineLevel="0" collapsed="false">
      <c r="A50" s="6" t="s">
        <v>71</v>
      </c>
      <c r="B50" s="10" t="n">
        <v>0.3</v>
      </c>
      <c r="C50" s="8" t="s">
        <v>68</v>
      </c>
      <c r="D50" s="9" t="s">
        <v>72</v>
      </c>
    </row>
    <row r="51" customFormat="false" ht="15" hidden="false" customHeight="false" outlineLevel="0" collapsed="false">
      <c r="A51" s="6" t="s">
        <v>73</v>
      </c>
      <c r="B51" s="18" t="n">
        <v>9000</v>
      </c>
      <c r="C51" s="8" t="s">
        <v>15</v>
      </c>
      <c r="D51" s="9" t="s">
        <v>74</v>
      </c>
    </row>
    <row r="52" customFormat="false" ht="15" hidden="false" customHeight="false" outlineLevel="0" collapsed="false">
      <c r="A52" s="6" t="s">
        <v>75</v>
      </c>
      <c r="B52" s="18" t="n">
        <v>18000</v>
      </c>
      <c r="C52" s="8" t="s">
        <v>15</v>
      </c>
      <c r="D52" s="9" t="s">
        <v>74</v>
      </c>
    </row>
    <row r="53" customFormat="false" ht="15" hidden="false" customHeight="false" outlineLevel="0" collapsed="false">
      <c r="A53" s="6" t="s">
        <v>76</v>
      </c>
      <c r="B53" s="18" t="n">
        <v>30000</v>
      </c>
      <c r="C53" s="8" t="s">
        <v>15</v>
      </c>
      <c r="D53" s="9" t="s">
        <v>74</v>
      </c>
    </row>
    <row r="54" customFormat="false" ht="15" hidden="false" customHeight="false" outlineLevel="0" collapsed="false">
      <c r="A54" s="11"/>
      <c r="B54" s="12"/>
      <c r="C54" s="12"/>
      <c r="D54" s="11"/>
    </row>
    <row r="55" customFormat="false" ht="15" hidden="false" customHeight="true" outlineLevel="0" collapsed="false">
      <c r="A55" s="5" t="s">
        <v>77</v>
      </c>
      <c r="B55" s="5"/>
      <c r="C55" s="5"/>
      <c r="D55" s="5"/>
      <c r="E55" s="5"/>
      <c r="F55" s="5"/>
      <c r="G55" s="5"/>
      <c r="H55" s="5"/>
    </row>
    <row r="56" customFormat="false" ht="15" hidden="false" customHeight="false" outlineLevel="0" collapsed="false">
      <c r="A56" s="6" t="s">
        <v>78</v>
      </c>
      <c r="B56" s="19" t="n">
        <v>0.3</v>
      </c>
      <c r="C56" s="8" t="s">
        <v>79</v>
      </c>
      <c r="D56" s="9" t="s">
        <v>20</v>
      </c>
    </row>
    <row r="57" customFormat="false" ht="15" hidden="false" customHeight="false" outlineLevel="0" collapsed="false">
      <c r="A57" s="6" t="s">
        <v>80</v>
      </c>
      <c r="B57" s="19" t="n">
        <v>0.8</v>
      </c>
      <c r="C57" s="8" t="s">
        <v>79</v>
      </c>
      <c r="D57" s="9" t="s">
        <v>20</v>
      </c>
    </row>
    <row r="58" customFormat="false" ht="15" hidden="false" customHeight="false" outlineLevel="0" collapsed="false">
      <c r="A58" s="6" t="s">
        <v>81</v>
      </c>
      <c r="B58" s="20" t="n">
        <f aca="false">AVERAGE(B56:B57)</f>
        <v>0.55</v>
      </c>
      <c r="C58" s="8" t="s">
        <v>79</v>
      </c>
      <c r="D58" s="9" t="s">
        <v>30</v>
      </c>
    </row>
    <row r="59" customFormat="false" ht="15" hidden="false" customHeight="false" outlineLevel="0" collapsed="false">
      <c r="A59" s="6" t="s">
        <v>82</v>
      </c>
      <c r="B59" s="19" t="n">
        <v>1000</v>
      </c>
      <c r="C59" s="8" t="s">
        <v>83</v>
      </c>
      <c r="D59" s="9" t="s">
        <v>20</v>
      </c>
    </row>
    <row r="60" customFormat="false" ht="15" hidden="false" customHeight="false" outlineLevel="0" collapsed="false">
      <c r="A60" s="6" t="s">
        <v>84</v>
      </c>
      <c r="B60" s="21" t="n">
        <v>3000</v>
      </c>
      <c r="C60" s="8" t="s">
        <v>62</v>
      </c>
      <c r="D60" s="9" t="s">
        <v>20</v>
      </c>
    </row>
    <row r="61" customFormat="false" ht="15" hidden="false" customHeight="false" outlineLevel="0" collapsed="false">
      <c r="A61" s="6" t="s">
        <v>85</v>
      </c>
      <c r="B61" s="22" t="n">
        <f aca="false">B59/B60</f>
        <v>0.333333333333333</v>
      </c>
      <c r="C61" s="8" t="s">
        <v>86</v>
      </c>
      <c r="D61" s="9" t="s">
        <v>87</v>
      </c>
    </row>
    <row r="62" customFormat="false" ht="15" hidden="false" customHeight="false" outlineLevel="0" collapsed="false">
      <c r="A62" s="6" t="s">
        <v>88</v>
      </c>
      <c r="B62" s="13" t="n">
        <v>0.3</v>
      </c>
      <c r="C62" s="8" t="s">
        <v>89</v>
      </c>
      <c r="D62" s="9" t="s">
        <v>20</v>
      </c>
    </row>
    <row r="63" customFormat="false" ht="15" hidden="false" customHeight="false" outlineLevel="0" collapsed="false">
      <c r="A63" s="6" t="s">
        <v>90</v>
      </c>
      <c r="B63" s="10" t="n">
        <v>0</v>
      </c>
      <c r="C63" s="8" t="s">
        <v>11</v>
      </c>
      <c r="D63" s="9" t="s">
        <v>91</v>
      </c>
    </row>
    <row r="64" customFormat="false" ht="15" hidden="false" customHeight="false" outlineLevel="0" collapsed="false">
      <c r="A64" s="6" t="s">
        <v>92</v>
      </c>
      <c r="B64" s="10" t="n">
        <v>0.065</v>
      </c>
      <c r="C64" s="8" t="s">
        <v>11</v>
      </c>
      <c r="D64" s="9" t="s">
        <v>93</v>
      </c>
    </row>
    <row r="65" customFormat="false" ht="15" hidden="false" customHeight="false" outlineLevel="0" collapsed="false">
      <c r="A65" s="11"/>
      <c r="B65" s="12"/>
      <c r="C65" s="12"/>
      <c r="D65" s="11"/>
    </row>
    <row r="66" customFormat="false" ht="15" hidden="false" customHeight="true" outlineLevel="0" collapsed="false">
      <c r="A66" s="5" t="s">
        <v>94</v>
      </c>
      <c r="B66" s="5"/>
      <c r="C66" s="5"/>
      <c r="D66" s="5"/>
      <c r="E66" s="5"/>
      <c r="F66" s="5"/>
      <c r="G66" s="5"/>
      <c r="H66" s="5"/>
    </row>
    <row r="67" customFormat="false" ht="15" hidden="false" customHeight="false" outlineLevel="0" collapsed="false">
      <c r="A67" s="6" t="s">
        <v>95</v>
      </c>
      <c r="B67" s="10" t="n">
        <v>0.3</v>
      </c>
      <c r="C67" s="8" t="s">
        <v>11</v>
      </c>
      <c r="D67" s="9" t="s">
        <v>20</v>
      </c>
    </row>
    <row r="68" customFormat="false" ht="15" hidden="false" customHeight="false" outlineLevel="0" collapsed="false">
      <c r="A68" s="6" t="s">
        <v>96</v>
      </c>
      <c r="B68" s="17" t="n">
        <v>1.5</v>
      </c>
      <c r="C68" s="8" t="s">
        <v>64</v>
      </c>
      <c r="D68" s="9" t="s">
        <v>97</v>
      </c>
    </row>
    <row r="69" customFormat="false" ht="15" hidden="false" customHeight="false" outlineLevel="0" collapsed="false">
      <c r="A69" s="6" t="s">
        <v>98</v>
      </c>
      <c r="B69" s="23" t="n">
        <f aca="false">B67*B68</f>
        <v>0.45</v>
      </c>
      <c r="C69" s="8" t="s">
        <v>11</v>
      </c>
      <c r="D69" s="9" t="s">
        <v>99</v>
      </c>
    </row>
    <row r="70" customFormat="false" ht="15" hidden="false" customHeight="false" outlineLevel="0" collapsed="false">
      <c r="A70" s="6" t="s">
        <v>100</v>
      </c>
      <c r="B70" s="10" t="n">
        <v>0.15</v>
      </c>
      <c r="C70" s="8" t="s">
        <v>11</v>
      </c>
      <c r="D70" s="9" t="s">
        <v>20</v>
      </c>
    </row>
    <row r="71" customFormat="false" ht="15" hidden="false" customHeight="false" outlineLevel="0" collapsed="false">
      <c r="A71" s="6" t="s">
        <v>101</v>
      </c>
      <c r="B71" s="10" t="n">
        <v>0.15</v>
      </c>
      <c r="C71" s="8" t="s">
        <v>11</v>
      </c>
      <c r="D71" s="9" t="s">
        <v>102</v>
      </c>
    </row>
    <row r="72" customFormat="false" ht="15" hidden="false" customHeight="false" outlineLevel="0" collapsed="false">
      <c r="A72" s="6" t="s">
        <v>103</v>
      </c>
      <c r="B72" s="24" t="n">
        <v>30</v>
      </c>
      <c r="C72" s="8" t="s">
        <v>104</v>
      </c>
      <c r="D72" s="9" t="s">
        <v>105</v>
      </c>
    </row>
    <row r="73" customFormat="false" ht="15" hidden="false" customHeight="false" outlineLevel="0" collapsed="false">
      <c r="A73" s="6" t="s">
        <v>106</v>
      </c>
      <c r="B73" s="24" t="n">
        <f aca="false">ROUND(90/B72,0)-1</f>
        <v>2</v>
      </c>
      <c r="C73" s="8" t="s">
        <v>107</v>
      </c>
      <c r="D73" s="9" t="s">
        <v>108</v>
      </c>
    </row>
    <row r="74" customFormat="false" ht="15" hidden="false" customHeight="false" outlineLevel="0" collapsed="false">
      <c r="A74" s="6" t="s">
        <v>109</v>
      </c>
      <c r="B74" s="24" t="n">
        <f aca="false">ROUND(180/B72,0)-1</f>
        <v>5</v>
      </c>
      <c r="C74" s="8" t="s">
        <v>107</v>
      </c>
      <c r="D74" s="9" t="s">
        <v>110</v>
      </c>
    </row>
    <row r="75" customFormat="false" ht="15" hidden="false" customHeight="false" outlineLevel="0" collapsed="false">
      <c r="A75" s="6" t="s">
        <v>111</v>
      </c>
      <c r="B75" s="13" t="n">
        <v>30</v>
      </c>
      <c r="C75" s="8" t="s">
        <v>27</v>
      </c>
      <c r="D75" s="9" t="s">
        <v>112</v>
      </c>
    </row>
    <row r="76" customFormat="false" ht="15" hidden="false" customHeight="false" outlineLevel="0" collapsed="false">
      <c r="A76" s="6" t="s">
        <v>113</v>
      </c>
      <c r="B76" s="13" t="n">
        <v>0.6</v>
      </c>
      <c r="C76" s="8" t="s">
        <v>27</v>
      </c>
      <c r="D76" s="9" t="s">
        <v>20</v>
      </c>
    </row>
    <row r="77" customFormat="false" ht="15" hidden="false" customHeight="false" outlineLevel="0" collapsed="false">
      <c r="A77" s="11"/>
      <c r="B77" s="12"/>
      <c r="C77" s="12"/>
      <c r="D77" s="11"/>
    </row>
    <row r="78" customFormat="false" ht="15" hidden="false" customHeight="true" outlineLevel="0" collapsed="false">
      <c r="A78" s="5" t="s">
        <v>114</v>
      </c>
      <c r="B78" s="5"/>
      <c r="C78" s="5"/>
      <c r="D78" s="5"/>
      <c r="E78" s="5"/>
      <c r="F78" s="5"/>
      <c r="G78" s="5"/>
      <c r="H78" s="5"/>
    </row>
    <row r="79" customFormat="false" ht="15" hidden="false" customHeight="false" outlineLevel="0" collapsed="false">
      <c r="A79" s="6" t="s">
        <v>115</v>
      </c>
      <c r="B79" s="18" t="n">
        <v>250</v>
      </c>
      <c r="C79" s="8" t="s">
        <v>15</v>
      </c>
      <c r="D79" s="9" t="s">
        <v>20</v>
      </c>
    </row>
    <row r="80" customFormat="false" ht="15" hidden="false" customHeight="false" outlineLevel="0" collapsed="false">
      <c r="A80" s="6" t="s">
        <v>116</v>
      </c>
      <c r="B80" s="18" t="n">
        <v>800</v>
      </c>
      <c r="C80" s="8" t="s">
        <v>15</v>
      </c>
      <c r="D80" s="9" t="s">
        <v>20</v>
      </c>
    </row>
    <row r="81" customFormat="false" ht="15" hidden="false" customHeight="false" outlineLevel="0" collapsed="false">
      <c r="A81" s="11"/>
      <c r="B81" s="12"/>
      <c r="C81" s="12"/>
      <c r="D81" s="11"/>
    </row>
    <row r="82" customFormat="false" ht="15" hidden="false" customHeight="true" outlineLevel="0" collapsed="false">
      <c r="A82" s="5" t="s">
        <v>117</v>
      </c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6" t="s">
        <v>118</v>
      </c>
      <c r="B83" s="18" t="n">
        <v>4000</v>
      </c>
      <c r="C83" s="8" t="s">
        <v>27</v>
      </c>
      <c r="D83" s="9" t="s">
        <v>119</v>
      </c>
    </row>
    <row r="84" customFormat="false" ht="15" hidden="false" customHeight="false" outlineLevel="0" collapsed="false">
      <c r="A84" s="6" t="s">
        <v>120</v>
      </c>
      <c r="B84" s="18" t="n">
        <v>1000</v>
      </c>
      <c r="C84" s="8" t="s">
        <v>121</v>
      </c>
      <c r="D84" s="9" t="s">
        <v>122</v>
      </c>
    </row>
    <row r="85" customFormat="false" ht="15" hidden="false" customHeight="false" outlineLevel="0" collapsed="false">
      <c r="A85" s="6" t="s">
        <v>123</v>
      </c>
      <c r="B85" s="18" t="n">
        <v>466</v>
      </c>
      <c r="C85" s="8" t="s">
        <v>27</v>
      </c>
      <c r="D85" s="9" t="s">
        <v>124</v>
      </c>
    </row>
    <row r="86" customFormat="false" ht="15" hidden="false" customHeight="false" outlineLevel="0" collapsed="false">
      <c r="A86" s="6" t="s">
        <v>125</v>
      </c>
      <c r="B86" s="18" t="n">
        <v>850</v>
      </c>
      <c r="C86" s="8" t="s">
        <v>27</v>
      </c>
      <c r="D86" s="9" t="s">
        <v>20</v>
      </c>
    </row>
    <row r="87" customFormat="false" ht="15" hidden="false" customHeight="false" outlineLevel="0" collapsed="false">
      <c r="A87" s="6" t="s">
        <v>126</v>
      </c>
      <c r="B87" s="18" t="n">
        <v>2000</v>
      </c>
      <c r="C87" s="8" t="s">
        <v>27</v>
      </c>
      <c r="D87" s="9" t="s">
        <v>20</v>
      </c>
    </row>
    <row r="88" customFormat="false" ht="15" hidden="false" customHeight="false" outlineLevel="0" collapsed="false">
      <c r="A88" s="6" t="s">
        <v>127</v>
      </c>
      <c r="B88" s="18" t="n">
        <v>1500</v>
      </c>
      <c r="C88" s="8" t="s">
        <v>27</v>
      </c>
      <c r="D88" s="9" t="s">
        <v>20</v>
      </c>
    </row>
    <row r="89" customFormat="false" ht="15" hidden="false" customHeight="false" outlineLevel="0" collapsed="false">
      <c r="A89" s="6" t="s">
        <v>128</v>
      </c>
      <c r="B89" s="18" t="n">
        <v>2000</v>
      </c>
      <c r="C89" s="8" t="s">
        <v>27</v>
      </c>
      <c r="D89" s="9" t="s">
        <v>20</v>
      </c>
    </row>
    <row r="90" customFormat="false" ht="15" hidden="false" customHeight="false" outlineLevel="0" collapsed="false">
      <c r="A90" s="6" t="s">
        <v>129</v>
      </c>
      <c r="B90" s="18" t="n">
        <v>150</v>
      </c>
      <c r="C90" s="8" t="s">
        <v>130</v>
      </c>
      <c r="D90" s="9" t="s">
        <v>20</v>
      </c>
    </row>
    <row r="91" customFormat="false" ht="15" hidden="false" customHeight="false" outlineLevel="0" collapsed="false">
      <c r="A91" s="6" t="s">
        <v>131</v>
      </c>
      <c r="B91" s="24" t="n">
        <v>10</v>
      </c>
      <c r="C91" s="8" t="s">
        <v>132</v>
      </c>
      <c r="D91" s="9" t="s">
        <v>20</v>
      </c>
    </row>
    <row r="92" customFormat="false" ht="15" hidden="false" customHeight="false" outlineLevel="0" collapsed="false">
      <c r="A92" s="6" t="s">
        <v>133</v>
      </c>
      <c r="B92" s="18" t="n">
        <v>100</v>
      </c>
      <c r="C92" s="8" t="s">
        <v>121</v>
      </c>
      <c r="D92" s="9" t="s">
        <v>134</v>
      </c>
    </row>
    <row r="93" customFormat="false" ht="15" hidden="false" customHeight="false" outlineLevel="0" collapsed="false">
      <c r="A93" s="6" t="s">
        <v>135</v>
      </c>
      <c r="B93" s="24" t="n">
        <v>4</v>
      </c>
      <c r="C93" s="8" t="s">
        <v>136</v>
      </c>
      <c r="D93" s="9" t="s">
        <v>137</v>
      </c>
    </row>
    <row r="94" customFormat="false" ht="15" hidden="false" customHeight="false" outlineLevel="0" collapsed="false">
      <c r="A94" s="11"/>
      <c r="B94" s="12"/>
      <c r="C94" s="12"/>
      <c r="D94" s="11"/>
    </row>
    <row r="95" customFormat="false" ht="15" hidden="false" customHeight="true" outlineLevel="0" collapsed="false">
      <c r="A95" s="5" t="s">
        <v>138</v>
      </c>
      <c r="B95" s="5"/>
      <c r="C95" s="5"/>
      <c r="D95" s="5"/>
      <c r="E95" s="5"/>
      <c r="F95" s="5"/>
      <c r="G95" s="5"/>
      <c r="H95" s="5"/>
    </row>
    <row r="96" customFormat="false" ht="15" hidden="false" customHeight="false" outlineLevel="0" collapsed="false">
      <c r="A96" s="6" t="s">
        <v>139</v>
      </c>
      <c r="B96" s="18" t="n">
        <v>25000</v>
      </c>
      <c r="C96" s="8" t="s">
        <v>27</v>
      </c>
      <c r="D96" s="9" t="s">
        <v>140</v>
      </c>
    </row>
    <row r="97" customFormat="false" ht="15" hidden="false" customHeight="false" outlineLevel="0" collapsed="false">
      <c r="A97" s="6" t="s">
        <v>141</v>
      </c>
      <c r="B97" s="18" t="n">
        <v>9000</v>
      </c>
      <c r="C97" s="8" t="s">
        <v>27</v>
      </c>
      <c r="D97" s="9" t="s">
        <v>142</v>
      </c>
    </row>
    <row r="98" customFormat="false" ht="15" hidden="false" customHeight="false" outlineLevel="0" collapsed="false">
      <c r="A98" s="6" t="s">
        <v>143</v>
      </c>
      <c r="B98" s="10" t="n">
        <v>0.3</v>
      </c>
      <c r="C98" s="8" t="s">
        <v>144</v>
      </c>
      <c r="D98" s="9" t="s">
        <v>145</v>
      </c>
    </row>
    <row r="99" customFormat="false" ht="15" hidden="false" customHeight="false" outlineLevel="0" collapsed="false">
      <c r="A99" s="6" t="s">
        <v>146</v>
      </c>
      <c r="B99" s="23" t="n">
        <f aca="false">1-B98</f>
        <v>0.7</v>
      </c>
      <c r="C99" s="8" t="s">
        <v>144</v>
      </c>
      <c r="D99" s="9" t="s">
        <v>147</v>
      </c>
    </row>
    <row r="100" customFormat="false" ht="15" hidden="false" customHeight="false" outlineLevel="0" collapsed="false">
      <c r="A100" s="6" t="s">
        <v>148</v>
      </c>
      <c r="B100" s="24" t="n">
        <v>60</v>
      </c>
      <c r="C100" s="8" t="s">
        <v>104</v>
      </c>
      <c r="D100" s="9" t="s">
        <v>149</v>
      </c>
    </row>
    <row r="101" customFormat="false" ht="15" hidden="false" customHeight="false" outlineLevel="0" collapsed="false">
      <c r="A101" s="6" t="s">
        <v>150</v>
      </c>
      <c r="B101" s="24" t="n">
        <v>90</v>
      </c>
      <c r="C101" s="8" t="s">
        <v>104</v>
      </c>
      <c r="D101" s="9" t="s">
        <v>151</v>
      </c>
    </row>
    <row r="102" customFormat="false" ht="15" hidden="false" customHeight="false" outlineLevel="0" collapsed="false">
      <c r="A102" s="6" t="s">
        <v>152</v>
      </c>
      <c r="B102" s="24" t="n">
        <v>2</v>
      </c>
      <c r="C102" s="8" t="s">
        <v>104</v>
      </c>
      <c r="D102" s="9" t="s">
        <v>153</v>
      </c>
    </row>
    <row r="103" customFormat="false" ht="15" hidden="false" customHeight="false" outlineLevel="0" collapsed="false">
      <c r="A103" s="6" t="s">
        <v>154</v>
      </c>
      <c r="B103" s="10" t="n">
        <v>0.15</v>
      </c>
      <c r="C103" s="8" t="s">
        <v>68</v>
      </c>
      <c r="D103" s="9" t="s">
        <v>155</v>
      </c>
    </row>
    <row r="104" customFormat="false" ht="15" hidden="false" customHeight="false" outlineLevel="0" collapsed="false">
      <c r="A104" s="11"/>
      <c r="B104" s="12"/>
      <c r="C104" s="12"/>
      <c r="D104" s="11"/>
    </row>
    <row r="105" customFormat="false" ht="15" hidden="false" customHeight="true" outlineLevel="0" collapsed="false">
      <c r="A105" s="5" t="s">
        <v>156</v>
      </c>
      <c r="B105" s="5"/>
      <c r="C105" s="5"/>
      <c r="D105" s="5"/>
      <c r="E105" s="5"/>
      <c r="F105" s="5"/>
      <c r="G105" s="5"/>
      <c r="H105" s="5"/>
    </row>
    <row r="106" customFormat="false" ht="15" hidden="false" customHeight="false" outlineLevel="0" collapsed="false">
      <c r="A106" s="6" t="s">
        <v>157</v>
      </c>
      <c r="B106" s="18" t="n">
        <v>150</v>
      </c>
      <c r="C106" s="8" t="s">
        <v>15</v>
      </c>
      <c r="D106" s="9" t="s">
        <v>158</v>
      </c>
    </row>
    <row r="107" customFormat="false" ht="15" hidden="false" customHeight="false" outlineLevel="0" collapsed="false">
      <c r="A107" s="6" t="s">
        <v>159</v>
      </c>
      <c r="B107" s="18" t="n">
        <v>120</v>
      </c>
      <c r="C107" s="8" t="s">
        <v>15</v>
      </c>
      <c r="D107" s="9" t="s">
        <v>160</v>
      </c>
    </row>
    <row r="108" customFormat="false" ht="15" hidden="false" customHeight="false" outlineLevel="0" collapsed="false">
      <c r="A108" s="6" t="s">
        <v>161</v>
      </c>
      <c r="B108" s="18" t="n">
        <v>80</v>
      </c>
      <c r="C108" s="8" t="s">
        <v>15</v>
      </c>
      <c r="D108" s="9" t="s">
        <v>162</v>
      </c>
    </row>
    <row r="109" customFormat="false" ht="15" hidden="false" customHeight="false" outlineLevel="0" collapsed="false">
      <c r="A109" s="11"/>
      <c r="B109" s="12"/>
      <c r="C109" s="12"/>
      <c r="D109" s="11"/>
    </row>
    <row r="110" customFormat="false" ht="15" hidden="false" customHeight="true" outlineLevel="0" collapsed="false">
      <c r="A110" s="5" t="s">
        <v>163</v>
      </c>
      <c r="B110" s="5"/>
      <c r="C110" s="5"/>
      <c r="D110" s="5"/>
      <c r="E110" s="5"/>
      <c r="F110" s="5"/>
      <c r="G110" s="5"/>
      <c r="H110" s="5"/>
    </row>
    <row r="111" customFormat="false" ht="15" hidden="false" customHeight="false" outlineLevel="0" collapsed="false">
      <c r="A111" s="6" t="s">
        <v>164</v>
      </c>
      <c r="B111" s="13" t="n">
        <v>18</v>
      </c>
      <c r="C111" s="8" t="s">
        <v>42</v>
      </c>
      <c r="D111" s="9" t="s">
        <v>20</v>
      </c>
    </row>
    <row r="112" customFormat="false" ht="15" hidden="false" customHeight="false" outlineLevel="0" collapsed="false">
      <c r="A112" s="6" t="s">
        <v>165</v>
      </c>
      <c r="B112" s="13" t="n">
        <v>11</v>
      </c>
      <c r="C112" s="8" t="s">
        <v>42</v>
      </c>
      <c r="D112" s="9" t="s">
        <v>20</v>
      </c>
    </row>
    <row r="113" customFormat="false" ht="15" hidden="false" customHeight="false" outlineLevel="0" collapsed="false">
      <c r="A113" s="11"/>
      <c r="B113" s="12"/>
      <c r="C113" s="12"/>
      <c r="D113" s="11"/>
    </row>
    <row r="114" customFormat="false" ht="15" hidden="false" customHeight="true" outlineLevel="0" collapsed="false">
      <c r="A114" s="5" t="s">
        <v>166</v>
      </c>
      <c r="B114" s="5"/>
      <c r="C114" s="5"/>
      <c r="D114" s="5"/>
      <c r="E114" s="5"/>
      <c r="F114" s="5"/>
      <c r="G114" s="5"/>
      <c r="H114" s="5"/>
    </row>
    <row r="115" customFormat="false" ht="15" hidden="false" customHeight="false" outlineLevel="0" collapsed="false">
      <c r="A115" s="6" t="s">
        <v>167</v>
      </c>
      <c r="B115" s="25" t="n">
        <v>2</v>
      </c>
      <c r="C115" s="8" t="s">
        <v>168</v>
      </c>
      <c r="D115" s="9" t="s">
        <v>169</v>
      </c>
    </row>
    <row r="116" customFormat="false" ht="15" hidden="false" customHeight="false" outlineLevel="0" collapsed="false">
      <c r="A116" s="6" t="s">
        <v>170</v>
      </c>
      <c r="B116" s="15" t="n">
        <f aca="false">CHOOSE(B115,Escenarios!$B$5,Escenarios!$C$5,Escenarios!$D$5)</f>
        <v>18</v>
      </c>
      <c r="C116" s="8" t="s">
        <v>42</v>
      </c>
      <c r="D116" s="9" t="s">
        <v>171</v>
      </c>
    </row>
    <row r="117" customFormat="false" ht="15" hidden="false" customHeight="false" outlineLevel="0" collapsed="false">
      <c r="A117" s="6" t="s">
        <v>172</v>
      </c>
      <c r="B117" s="15" t="n">
        <f aca="false">CHOOSE(B115,Escenarios!$B$6,Escenarios!$C$6,Escenarios!$D$6)</f>
        <v>11</v>
      </c>
      <c r="C117" s="8" t="s">
        <v>42</v>
      </c>
      <c r="D117" s="9" t="s">
        <v>171</v>
      </c>
    </row>
    <row r="118" customFormat="false" ht="15" hidden="false" customHeight="false" outlineLevel="0" collapsed="false">
      <c r="A118" s="6" t="s">
        <v>173</v>
      </c>
      <c r="B118" s="26" t="n">
        <f aca="false">CHOOSE(B115,Escenarios!$B$7,Escenarios!$C$7,Escenarios!$D$7)</f>
        <v>1</v>
      </c>
      <c r="C118" s="8" t="s">
        <v>64</v>
      </c>
      <c r="D118" s="9" t="s">
        <v>171</v>
      </c>
    </row>
    <row r="119" customFormat="false" ht="15" hidden="false" customHeight="false" outlineLevel="0" collapsed="false">
      <c r="A119" s="6" t="s">
        <v>174</v>
      </c>
      <c r="B119" s="15" t="n">
        <f aca="false">B44*B118</f>
        <v>38</v>
      </c>
      <c r="C119" s="8" t="s">
        <v>27</v>
      </c>
      <c r="D119" s="9" t="s">
        <v>175</v>
      </c>
    </row>
    <row r="120" customFormat="false" ht="15" hidden="false" customHeight="false" outlineLevel="0" collapsed="false">
      <c r="A120" s="6" t="s">
        <v>176</v>
      </c>
      <c r="B120" s="23" t="n">
        <f aca="false">CHOOSE(B115,Escenarios!$B$8,Escenarios!$C$8,Escenarios!$D$8)</f>
        <v>0.2</v>
      </c>
      <c r="C120" s="8" t="s">
        <v>68</v>
      </c>
      <c r="D120" s="9" t="s">
        <v>171</v>
      </c>
    </row>
    <row r="121" customFormat="false" ht="15" hidden="false" customHeight="false" outlineLevel="0" collapsed="false">
      <c r="A121" s="6" t="s">
        <v>177</v>
      </c>
      <c r="B121" s="27" t="n">
        <f aca="false">CHOOSE(B115,Escenarios!$B$9,Escenarios!$C$9,Escenarios!$D$9)</f>
        <v>18000</v>
      </c>
      <c r="C121" s="8" t="s">
        <v>15</v>
      </c>
      <c r="D121" s="9" t="s">
        <v>171</v>
      </c>
    </row>
    <row r="122" customFormat="false" ht="15" hidden="false" customHeight="false" outlineLevel="0" collapsed="false">
      <c r="A122" s="6" t="s">
        <v>178</v>
      </c>
      <c r="B122" s="23" t="n">
        <f aca="false">CHOOSE(B115,Escenarios!$B$10,Escenarios!$C$10,Escenarios!$D$10)</f>
        <v>0.15</v>
      </c>
      <c r="C122" s="8" t="s">
        <v>11</v>
      </c>
      <c r="D122" s="9" t="s">
        <v>171</v>
      </c>
    </row>
    <row r="123" customFormat="false" ht="15" hidden="false" customHeight="false" outlineLevel="0" collapsed="false">
      <c r="A123" s="6" t="s">
        <v>179</v>
      </c>
      <c r="B123" s="23" t="n">
        <f aca="false">CHOOSE(B115,Escenarios!$B$11,Escenarios!$C$11,Escenarios!$D$11)</f>
        <v>0.25</v>
      </c>
      <c r="C123" s="8" t="s">
        <v>11</v>
      </c>
      <c r="D123" s="9" t="s">
        <v>171</v>
      </c>
    </row>
    <row r="124" customFormat="false" ht="15" hidden="false" customHeight="false" outlineLevel="0" collapsed="false">
      <c r="A124" s="11"/>
      <c r="B124" s="12"/>
      <c r="C124" s="12"/>
      <c r="D124" s="11"/>
    </row>
  </sheetData>
  <mergeCells count="14">
    <mergeCell ref="A1:H1"/>
    <mergeCell ref="A5:H5"/>
    <mergeCell ref="A9:H9"/>
    <mergeCell ref="A17:H17"/>
    <mergeCell ref="A28:H28"/>
    <mergeCell ref="A36:H36"/>
    <mergeCell ref="A55:H55"/>
    <mergeCell ref="A66:H66"/>
    <mergeCell ref="A78:H78"/>
    <mergeCell ref="A82:H82"/>
    <mergeCell ref="A95:H95"/>
    <mergeCell ref="A105:H105"/>
    <mergeCell ref="A110:H110"/>
    <mergeCell ref="A114:H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11" min="4" style="0" width="10"/>
    <col collapsed="false" customWidth="true" hidden="false" outlineLevel="0" max="14" min="12" style="0" width="9"/>
    <col collapsed="false" customWidth="true" hidden="false" outlineLevel="0" max="16" min="15" style="0" width="11"/>
    <col collapsed="false" customWidth="true" hidden="false" outlineLevel="0" max="20" min="17" style="0" width="10"/>
    <col collapsed="false" customWidth="true" hidden="false" outlineLevel="0" max="24" min="21" style="0" width="9"/>
    <col collapsed="false" customWidth="true" hidden="false" outlineLevel="0" max="29" min="25" style="0" width="10"/>
    <col collapsed="false" customWidth="true" hidden="false" outlineLevel="0" max="30" min="30" style="0" width="11"/>
  </cols>
  <sheetData>
    <row r="1" customFormat="false" ht="17.35" hidden="false" customHeight="fals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" hidden="false" customHeight="false" outlineLevel="0" collapsed="false">
      <c r="A2" s="2" t="s">
        <v>181</v>
      </c>
    </row>
    <row r="4" customFormat="false" ht="42" hidden="false" customHeight="true" outlineLevel="0" collapsed="false">
      <c r="A4" s="28" t="s">
        <v>182</v>
      </c>
      <c r="B4" s="28" t="s">
        <v>183</v>
      </c>
      <c r="C4" s="28" t="s">
        <v>184</v>
      </c>
      <c r="D4" s="28" t="s">
        <v>185</v>
      </c>
      <c r="E4" s="28" t="s">
        <v>186</v>
      </c>
      <c r="F4" s="28" t="s">
        <v>187</v>
      </c>
      <c r="G4" s="28" t="s">
        <v>188</v>
      </c>
      <c r="H4" s="28" t="s">
        <v>189</v>
      </c>
      <c r="I4" s="28" t="s">
        <v>190</v>
      </c>
      <c r="J4" s="28" t="s">
        <v>191</v>
      </c>
      <c r="K4" s="28" t="s">
        <v>192</v>
      </c>
      <c r="L4" s="28" t="s">
        <v>193</v>
      </c>
      <c r="M4" s="28" t="s">
        <v>194</v>
      </c>
      <c r="N4" s="28" t="s">
        <v>195</v>
      </c>
      <c r="O4" s="28" t="s">
        <v>196</v>
      </c>
      <c r="P4" s="28" t="s">
        <v>197</v>
      </c>
      <c r="Q4" s="28" t="s">
        <v>198</v>
      </c>
      <c r="R4" s="28" t="s">
        <v>199</v>
      </c>
      <c r="S4" s="28" t="s">
        <v>200</v>
      </c>
      <c r="T4" s="28" t="s">
        <v>201</v>
      </c>
      <c r="U4" s="28" t="s">
        <v>202</v>
      </c>
      <c r="V4" s="28" t="s">
        <v>203</v>
      </c>
      <c r="W4" s="28" t="s">
        <v>204</v>
      </c>
      <c r="X4" s="28" t="s">
        <v>205</v>
      </c>
      <c r="Y4" s="28" t="s">
        <v>206</v>
      </c>
      <c r="Z4" s="28" t="s">
        <v>207</v>
      </c>
      <c r="AA4" s="28" t="s">
        <v>208</v>
      </c>
      <c r="AB4" s="28" t="s">
        <v>209</v>
      </c>
      <c r="AC4" s="28" t="s">
        <v>210</v>
      </c>
      <c r="AD4" s="28" t="s">
        <v>211</v>
      </c>
    </row>
    <row r="5" customFormat="false" ht="15" hidden="false" customHeight="false" outlineLevel="0" collapsed="false">
      <c r="A5" s="29" t="s">
        <v>212</v>
      </c>
      <c r="B5" s="29" t="s">
        <v>213</v>
      </c>
      <c r="C5" s="30" t="n">
        <v>8</v>
      </c>
      <c r="D5" s="31" t="n">
        <v>16.95</v>
      </c>
      <c r="E5" s="32" t="n">
        <f aca="false">D5/(1+Supuestos!$B$7)</f>
        <v>14.0082644628099</v>
      </c>
      <c r="F5" s="33" t="n">
        <v>2.4</v>
      </c>
      <c r="G5" s="33" t="n">
        <v>4.8</v>
      </c>
      <c r="H5" s="34" t="n">
        <f aca="false">AVERAGE(F5:G5)</f>
        <v>3.6</v>
      </c>
      <c r="I5" s="33" t="n">
        <v>1.2</v>
      </c>
      <c r="J5" s="33" t="n">
        <v>1.68</v>
      </c>
      <c r="K5" s="34" t="n">
        <f aca="false">AVERAGE(I5:J5)</f>
        <v>1.44</v>
      </c>
      <c r="L5" s="35" t="n">
        <f aca="false">Supuestos!$B$58</f>
        <v>0.55</v>
      </c>
      <c r="M5" s="35" t="n">
        <f aca="false">IF(B5="Parche",Supuestos!$B$61*C5,0)</f>
        <v>2.66666666666667</v>
      </c>
      <c r="N5" s="36" t="n">
        <f aca="false">IF(B5="Parche",Supuestos!$B$62*C5,Supuestos!$B$62)</f>
        <v>2.4</v>
      </c>
      <c r="O5" s="32" t="n">
        <f aca="false">(H5+L5+M5)*Supuestos!$B$6*(1+Supuestos!$B$63)+N5</f>
        <v>8.67133333333333</v>
      </c>
      <c r="P5" s="32" t="n">
        <f aca="false">(K5+L5+M5)*Supuestos!$B$6*(1+Supuestos!$B$64)+N5</f>
        <v>6.962602</v>
      </c>
      <c r="Q5" s="32" t="n">
        <f aca="false">E5-O5</f>
        <v>5.33693112947658</v>
      </c>
      <c r="R5" s="37" t="n">
        <f aca="false">Q5/E5</f>
        <v>0.380984464110128</v>
      </c>
      <c r="S5" s="32" t="n">
        <f aca="false">E5-P5</f>
        <v>7.04566246280992</v>
      </c>
      <c r="T5" s="37" t="n">
        <f aca="false">S5/E5</f>
        <v>0.502964694985251</v>
      </c>
      <c r="U5" s="36" t="n">
        <f aca="false">D5*Supuestos!$B$12+Supuestos!$B$13</f>
        <v>0.57205</v>
      </c>
      <c r="V5" s="36" t="n">
        <f aca="false">IF(D5&gt;=Supuestos!$B$75,Supuestos!$B$26,0)</f>
        <v>0</v>
      </c>
      <c r="W5" s="36" t="n">
        <f aca="false">Supuestos!$B$31</f>
        <v>2.5</v>
      </c>
      <c r="X5" s="36" t="n">
        <f aca="false">Supuestos!$B$33</f>
        <v>0.35</v>
      </c>
      <c r="Y5" s="36" t="n">
        <f aca="false">-Supuestos!$B$34*Q5</f>
        <v>-0.160107933884298</v>
      </c>
      <c r="Z5" s="32" t="n">
        <f aca="false">Q5-U5-V5-W5-X5+Y5</f>
        <v>1.75477319559229</v>
      </c>
      <c r="AA5" s="37" t="n">
        <f aca="false">Z5/E5</f>
        <v>0.125266995083579</v>
      </c>
      <c r="AB5" s="36" t="n">
        <f aca="false">-Supuestos!$B$34*S5</f>
        <v>-0.211369873884298</v>
      </c>
      <c r="AC5" s="32" t="n">
        <f aca="false">S5-U5-V5-W5-X5+AB5</f>
        <v>3.41224258892562</v>
      </c>
      <c r="AD5" s="38" t="n">
        <v>0.22</v>
      </c>
    </row>
    <row r="6" customFormat="false" ht="15" hidden="false" customHeight="false" outlineLevel="0" collapsed="false">
      <c r="A6" s="29" t="s">
        <v>214</v>
      </c>
      <c r="B6" s="29" t="s">
        <v>213</v>
      </c>
      <c r="C6" s="30" t="n">
        <v>36</v>
      </c>
      <c r="D6" s="31" t="n">
        <v>15.95</v>
      </c>
      <c r="E6" s="32" t="n">
        <f aca="false">D6/(1+Supuestos!$B$7)</f>
        <v>13.1818181818182</v>
      </c>
      <c r="F6" s="33" t="n">
        <v>0.5</v>
      </c>
      <c r="G6" s="33" t="n">
        <v>0.75</v>
      </c>
      <c r="H6" s="34" t="n">
        <f aca="false">AVERAGE(F6:G6)</f>
        <v>0.625</v>
      </c>
      <c r="I6" s="33" t="n">
        <v>0.9</v>
      </c>
      <c r="J6" s="33" t="n">
        <v>1.3</v>
      </c>
      <c r="K6" s="34" t="n">
        <f aca="false">AVERAGE(I6:J6)</f>
        <v>1.1</v>
      </c>
      <c r="L6" s="35" t="n">
        <f aca="false">Supuestos!$B$58</f>
        <v>0.55</v>
      </c>
      <c r="M6" s="35" t="n">
        <f aca="false">IF(B6="Parche",Supuestos!$B$61*C6,0)</f>
        <v>12</v>
      </c>
      <c r="N6" s="36" t="n">
        <f aca="false">IF(B6="Parche",Supuestos!$B$62*C6,Supuestos!$B$62)</f>
        <v>10.8</v>
      </c>
      <c r="O6" s="32" t="n">
        <f aca="false">(H6+L6+M6)*Supuestos!$B$6*(1+Supuestos!$B$63)+N6</f>
        <v>22.921</v>
      </c>
      <c r="P6" s="32" t="n">
        <f aca="false">(K6+L6+M6)*Supuestos!$B$6*(1+Supuestos!$B$64)+N6</f>
        <v>24.17427</v>
      </c>
      <c r="Q6" s="32" t="n">
        <f aca="false">E6-O6</f>
        <v>-9.73918181818182</v>
      </c>
      <c r="R6" s="37" t="n">
        <f aca="false">Q6/E6</f>
        <v>-0.738834482758621</v>
      </c>
      <c r="S6" s="32" t="n">
        <f aca="false">E6-P6</f>
        <v>-10.9924518181818</v>
      </c>
      <c r="T6" s="37" t="n">
        <f aca="false">S6/E6</f>
        <v>-0.833910137931035</v>
      </c>
      <c r="U6" s="36" t="n">
        <f aca="false">D6*Supuestos!$B$12+Supuestos!$B$13</f>
        <v>0.55305</v>
      </c>
      <c r="V6" s="36" t="n">
        <f aca="false">IF(D6&gt;=Supuestos!$B$75,Supuestos!$B$26,0)</f>
        <v>0</v>
      </c>
      <c r="W6" s="36" t="n">
        <f aca="false">Supuestos!$B$31</f>
        <v>2.5</v>
      </c>
      <c r="X6" s="36" t="n">
        <f aca="false">Supuestos!$B$33</f>
        <v>0.35</v>
      </c>
      <c r="Y6" s="36" t="n">
        <f aca="false">-Supuestos!$B$34*Q6</f>
        <v>0.292175454545455</v>
      </c>
      <c r="Z6" s="32" t="n">
        <f aca="false">Q6-U6-V6-W6-X6+Y6</f>
        <v>-12.8500563636364</v>
      </c>
      <c r="AA6" s="37" t="n">
        <f aca="false">Z6/E6</f>
        <v>-0.974831862068966</v>
      </c>
      <c r="AB6" s="36" t="n">
        <f aca="false">-Supuestos!$B$34*S6</f>
        <v>0.329773554545455</v>
      </c>
      <c r="AC6" s="32" t="n">
        <f aca="false">S6-U6-V6-W6-X6+AB6</f>
        <v>-14.0657282636364</v>
      </c>
      <c r="AD6" s="38" t="n">
        <v>0.12</v>
      </c>
    </row>
    <row r="7" customFormat="false" ht="15" hidden="false" customHeight="false" outlineLevel="0" collapsed="false">
      <c r="A7" s="29" t="s">
        <v>215</v>
      </c>
      <c r="B7" s="29" t="s">
        <v>213</v>
      </c>
      <c r="C7" s="30" t="n">
        <v>10</v>
      </c>
      <c r="D7" s="31" t="n">
        <v>15.95</v>
      </c>
      <c r="E7" s="32" t="n">
        <f aca="false">D7/(1+Supuestos!$B$7)</f>
        <v>13.1818181818182</v>
      </c>
      <c r="F7" s="33" t="n">
        <v>2</v>
      </c>
      <c r="G7" s="33" t="n">
        <v>4</v>
      </c>
      <c r="H7" s="34" t="n">
        <f aca="false">AVERAGE(F7:G7)</f>
        <v>3</v>
      </c>
      <c r="I7" s="33" t="n">
        <v>1.3</v>
      </c>
      <c r="J7" s="33" t="n">
        <v>2</v>
      </c>
      <c r="K7" s="34" t="n">
        <f aca="false">AVERAGE(I7:J7)</f>
        <v>1.65</v>
      </c>
      <c r="L7" s="35" t="n">
        <f aca="false">Supuestos!$B$58</f>
        <v>0.55</v>
      </c>
      <c r="M7" s="35" t="n">
        <f aca="false">IF(B7="Parche",Supuestos!$B$61*C7,0)</f>
        <v>3.33333333333333</v>
      </c>
      <c r="N7" s="36" t="n">
        <f aca="false">IF(B7="Parche",Supuestos!$B$62*C7,Supuestos!$B$62)</f>
        <v>3</v>
      </c>
      <c r="O7" s="32" t="n">
        <f aca="false">(H7+L7+M7)*Supuestos!$B$6*(1+Supuestos!$B$63)+N7</f>
        <v>9.33266666666667</v>
      </c>
      <c r="P7" s="32" t="n">
        <f aca="false">(K7+L7+M7)*Supuestos!$B$6*(1+Supuestos!$B$64)+N7</f>
        <v>8.42156</v>
      </c>
      <c r="Q7" s="32" t="n">
        <f aca="false">E7-O7</f>
        <v>3.84915151515152</v>
      </c>
      <c r="R7" s="37" t="n">
        <f aca="false">Q7/E7</f>
        <v>0.292004597701149</v>
      </c>
      <c r="S7" s="32" t="n">
        <f aca="false">E7-P7</f>
        <v>4.76025818181818</v>
      </c>
      <c r="T7" s="37" t="n">
        <f aca="false">S7/E7</f>
        <v>0.361123034482759</v>
      </c>
      <c r="U7" s="36" t="n">
        <f aca="false">D7*Supuestos!$B$12+Supuestos!$B$13</f>
        <v>0.55305</v>
      </c>
      <c r="V7" s="36" t="n">
        <f aca="false">IF(D7&gt;=Supuestos!$B$75,Supuestos!$B$26,0)</f>
        <v>0</v>
      </c>
      <c r="W7" s="36" t="n">
        <f aca="false">Supuestos!$B$31</f>
        <v>2.5</v>
      </c>
      <c r="X7" s="36" t="n">
        <f aca="false">Supuestos!$B$33</f>
        <v>0.35</v>
      </c>
      <c r="Y7" s="36" t="n">
        <f aca="false">-Supuestos!$B$34*Q7</f>
        <v>-0.115474545454545</v>
      </c>
      <c r="Z7" s="32" t="n">
        <f aca="false">Q7-U7-V7-W7-X7+Y7</f>
        <v>0.33062696969697</v>
      </c>
      <c r="AA7" s="37" t="n">
        <f aca="false">Z7/E7</f>
        <v>0.0250820459770115</v>
      </c>
      <c r="AB7" s="36" t="n">
        <f aca="false">-Supuestos!$B$34*S7</f>
        <v>-0.142807745454545</v>
      </c>
      <c r="AC7" s="32" t="n">
        <f aca="false">S7-U7-V7-W7-X7+AB7</f>
        <v>1.21440043636364</v>
      </c>
      <c r="AD7" s="38" t="n">
        <v>0.08</v>
      </c>
    </row>
    <row r="8" customFormat="false" ht="15" hidden="false" customHeight="false" outlineLevel="0" collapsed="false">
      <c r="A8" s="29" t="s">
        <v>216</v>
      </c>
      <c r="B8" s="29" t="s">
        <v>213</v>
      </c>
      <c r="C8" s="30" t="n">
        <v>8</v>
      </c>
      <c r="D8" s="31" t="n">
        <v>16.95</v>
      </c>
      <c r="E8" s="32" t="n">
        <f aca="false">D8/(1+Supuestos!$B$7)</f>
        <v>14.0082644628099</v>
      </c>
      <c r="F8" s="33" t="n">
        <v>2.4</v>
      </c>
      <c r="G8" s="33" t="n">
        <v>4.8</v>
      </c>
      <c r="H8" s="34" t="n">
        <f aca="false">AVERAGE(F8:G8)</f>
        <v>3.6</v>
      </c>
      <c r="I8" s="33" t="n">
        <v>1.2</v>
      </c>
      <c r="J8" s="33" t="n">
        <v>1.68</v>
      </c>
      <c r="K8" s="34" t="n">
        <f aca="false">AVERAGE(I8:J8)</f>
        <v>1.44</v>
      </c>
      <c r="L8" s="35" t="n">
        <f aca="false">Supuestos!$B$58</f>
        <v>0.55</v>
      </c>
      <c r="M8" s="35" t="n">
        <f aca="false">IF(B8="Parche",Supuestos!$B$61*C8,0)</f>
        <v>2.66666666666667</v>
      </c>
      <c r="N8" s="36" t="n">
        <f aca="false">IF(B8="Parche",Supuestos!$B$62*C8,Supuestos!$B$62)</f>
        <v>2.4</v>
      </c>
      <c r="O8" s="32" t="n">
        <f aca="false">(H8+L8+M8)*Supuestos!$B$6*(1+Supuestos!$B$63)+N8</f>
        <v>8.67133333333333</v>
      </c>
      <c r="P8" s="32" t="n">
        <f aca="false">(K8+L8+M8)*Supuestos!$B$6*(1+Supuestos!$B$64)+N8</f>
        <v>6.962602</v>
      </c>
      <c r="Q8" s="32" t="n">
        <f aca="false">E8-O8</f>
        <v>5.33693112947658</v>
      </c>
      <c r="R8" s="37" t="n">
        <f aca="false">Q8/E8</f>
        <v>0.380984464110128</v>
      </c>
      <c r="S8" s="32" t="n">
        <f aca="false">E8-P8</f>
        <v>7.04566246280992</v>
      </c>
      <c r="T8" s="37" t="n">
        <f aca="false">S8/E8</f>
        <v>0.502964694985251</v>
      </c>
      <c r="U8" s="36" t="n">
        <f aca="false">D8*Supuestos!$B$12+Supuestos!$B$13</f>
        <v>0.57205</v>
      </c>
      <c r="V8" s="36" t="n">
        <f aca="false">IF(D8&gt;=Supuestos!$B$75,Supuestos!$B$26,0)</f>
        <v>0</v>
      </c>
      <c r="W8" s="36" t="n">
        <f aca="false">Supuestos!$B$31</f>
        <v>2.5</v>
      </c>
      <c r="X8" s="36" t="n">
        <f aca="false">Supuestos!$B$33</f>
        <v>0.35</v>
      </c>
      <c r="Y8" s="36" t="n">
        <f aca="false">-Supuestos!$B$34*Q8</f>
        <v>-0.160107933884298</v>
      </c>
      <c r="Z8" s="32" t="n">
        <f aca="false">Q8-U8-V8-W8-X8+Y8</f>
        <v>1.75477319559229</v>
      </c>
      <c r="AA8" s="37" t="n">
        <f aca="false">Z8/E8</f>
        <v>0.125266995083579</v>
      </c>
      <c r="AB8" s="36" t="n">
        <f aca="false">-Supuestos!$B$34*S8</f>
        <v>-0.211369873884298</v>
      </c>
      <c r="AC8" s="32" t="n">
        <f aca="false">S8-U8-V8-W8-X8+AB8</f>
        <v>3.41224258892562</v>
      </c>
      <c r="AD8" s="38" t="n">
        <v>0.06</v>
      </c>
    </row>
    <row r="9" customFormat="false" ht="15" hidden="false" customHeight="false" outlineLevel="0" collapsed="false">
      <c r="A9" s="29" t="s">
        <v>217</v>
      </c>
      <c r="B9" s="29" t="s">
        <v>213</v>
      </c>
      <c r="C9" s="30" t="n">
        <v>5</v>
      </c>
      <c r="D9" s="31" t="n">
        <v>16.95</v>
      </c>
      <c r="E9" s="32" t="n">
        <f aca="false">D9/(1+Supuestos!$B$7)</f>
        <v>14.0082644628099</v>
      </c>
      <c r="F9" s="33" t="n">
        <v>1.5</v>
      </c>
      <c r="G9" s="33" t="n">
        <v>3</v>
      </c>
      <c r="H9" s="34" t="n">
        <f aca="false">AVERAGE(F9:G9)</f>
        <v>2.25</v>
      </c>
      <c r="I9" s="33" t="n">
        <v>0.75</v>
      </c>
      <c r="J9" s="33" t="n">
        <v>1.05</v>
      </c>
      <c r="K9" s="34" t="n">
        <f aca="false">AVERAGE(I9:J9)</f>
        <v>0.9</v>
      </c>
      <c r="L9" s="35" t="n">
        <f aca="false">Supuestos!$B$58</f>
        <v>0.55</v>
      </c>
      <c r="M9" s="35" t="n">
        <f aca="false">IF(B9="Parche",Supuestos!$B$61*C9,0)</f>
        <v>1.66666666666667</v>
      </c>
      <c r="N9" s="36" t="n">
        <f aca="false">IF(B9="Parche",Supuestos!$B$62*C9,Supuestos!$B$62)</f>
        <v>1.5</v>
      </c>
      <c r="O9" s="32" t="n">
        <f aca="false">(H9+L9+M9)*Supuestos!$B$6*(1+Supuestos!$B$63)+N9</f>
        <v>5.60933333333333</v>
      </c>
      <c r="P9" s="32" t="n">
        <f aca="false">(K9+L9+M9)*Supuestos!$B$6*(1+Supuestos!$B$64)+N9</f>
        <v>4.55371</v>
      </c>
      <c r="Q9" s="32" t="n">
        <f aca="false">E9-O9</f>
        <v>8.39893112947658</v>
      </c>
      <c r="R9" s="37" t="n">
        <f aca="false">Q9/E9</f>
        <v>0.599569714847591</v>
      </c>
      <c r="S9" s="32" t="n">
        <f aca="false">E9-P9</f>
        <v>9.45455446280992</v>
      </c>
      <c r="T9" s="37" t="n">
        <f aca="false">S9/E9</f>
        <v>0.674926896755162</v>
      </c>
      <c r="U9" s="36" t="n">
        <f aca="false">D9*Supuestos!$B$12+Supuestos!$B$13</f>
        <v>0.57205</v>
      </c>
      <c r="V9" s="36" t="n">
        <f aca="false">IF(D9&gt;=Supuestos!$B$75,Supuestos!$B$26,0)</f>
        <v>0</v>
      </c>
      <c r="W9" s="36" t="n">
        <f aca="false">Supuestos!$B$31</f>
        <v>2.5</v>
      </c>
      <c r="X9" s="36" t="n">
        <f aca="false">Supuestos!$B$33</f>
        <v>0.35</v>
      </c>
      <c r="Y9" s="36" t="n">
        <f aca="false">-Supuestos!$B$34*Q9</f>
        <v>-0.251967933884298</v>
      </c>
      <c r="Z9" s="32" t="n">
        <f aca="false">Q9-U9-V9-W9-X9+Y9</f>
        <v>4.72491319559229</v>
      </c>
      <c r="AA9" s="37" t="n">
        <f aca="false">Z9/E9</f>
        <v>0.337294688298918</v>
      </c>
      <c r="AB9" s="36" t="n">
        <f aca="false">-Supuestos!$B$34*S9</f>
        <v>-0.283636633884298</v>
      </c>
      <c r="AC9" s="32" t="n">
        <f aca="false">S9-U9-V9-W9-X9+AB9</f>
        <v>5.74886782892562</v>
      </c>
      <c r="AD9" s="38" t="n">
        <v>0.06</v>
      </c>
    </row>
    <row r="10" customFormat="false" ht="15" hidden="false" customHeight="false" outlineLevel="0" collapsed="false">
      <c r="A10" s="29" t="s">
        <v>218</v>
      </c>
      <c r="B10" s="29" t="s">
        <v>219</v>
      </c>
      <c r="C10" s="30" t="n">
        <v>1</v>
      </c>
      <c r="D10" s="31" t="n">
        <v>32</v>
      </c>
      <c r="E10" s="32" t="n">
        <f aca="false">D10/(1+Supuestos!$B$7)</f>
        <v>26.4462809917355</v>
      </c>
      <c r="F10" s="33" t="n">
        <v>2</v>
      </c>
      <c r="G10" s="33" t="n">
        <v>5</v>
      </c>
      <c r="H10" s="34" t="n">
        <f aca="false">AVERAGE(F10:G10)</f>
        <v>3.5</v>
      </c>
      <c r="I10" s="33" t="n">
        <v>1</v>
      </c>
      <c r="J10" s="33" t="n">
        <v>2.5</v>
      </c>
      <c r="K10" s="34" t="n">
        <f aca="false">AVERAGE(I10:J10)</f>
        <v>1.75</v>
      </c>
      <c r="L10" s="35" t="n">
        <f aca="false">Supuestos!$B$58</f>
        <v>0.55</v>
      </c>
      <c r="M10" s="35" t="n">
        <f aca="false">IF(B10="Parche",Supuestos!$B$61*C10,0)</f>
        <v>0</v>
      </c>
      <c r="N10" s="36" t="n">
        <f aca="false">IF(B10="Parche",Supuestos!$B$62*C10,Supuestos!$B$62)</f>
        <v>0.3</v>
      </c>
      <c r="O10" s="32" t="n">
        <f aca="false">(H10+L10+M10)*Supuestos!$B$6*(1+Supuestos!$B$63)+N10</f>
        <v>4.026</v>
      </c>
      <c r="P10" s="32" t="n">
        <f aca="false">(K10+L10+M10)*Supuestos!$B$6*(1+Supuestos!$B$64)+N10</f>
        <v>2.55354</v>
      </c>
      <c r="Q10" s="32" t="n">
        <f aca="false">E10-O10</f>
        <v>22.4202809917355</v>
      </c>
      <c r="R10" s="37" t="n">
        <f aca="false">Q10/E10</f>
        <v>0.847766875</v>
      </c>
      <c r="S10" s="32" t="n">
        <f aca="false">E10-P10</f>
        <v>23.8927409917355</v>
      </c>
      <c r="T10" s="37" t="n">
        <f aca="false">S10/E10</f>
        <v>0.90344426875</v>
      </c>
      <c r="U10" s="36" t="n">
        <f aca="false">D10*Supuestos!$B$12+Supuestos!$B$13</f>
        <v>0.858</v>
      </c>
      <c r="V10" s="36" t="n">
        <f aca="false">IF(D10&gt;=Supuestos!$B$75,Supuestos!$B$26,0)</f>
        <v>4.35</v>
      </c>
      <c r="W10" s="36" t="n">
        <f aca="false">Supuestos!$B$31</f>
        <v>2.5</v>
      </c>
      <c r="X10" s="36" t="n">
        <f aca="false">Supuestos!$B$33</f>
        <v>0.35</v>
      </c>
      <c r="Y10" s="36" t="n">
        <f aca="false">-Supuestos!$B$34*Q10</f>
        <v>-0.672608429752066</v>
      </c>
      <c r="Z10" s="32" t="n">
        <f aca="false">Q10-U10-V10-W10-X10+Y10</f>
        <v>13.6896725619835</v>
      </c>
      <c r="AA10" s="37" t="n">
        <f aca="false">Z10/E10</f>
        <v>0.51764074375</v>
      </c>
      <c r="AB10" s="36" t="n">
        <f aca="false">-Supuestos!$B$34*S10</f>
        <v>-0.716782229752066</v>
      </c>
      <c r="AC10" s="32" t="n">
        <f aca="false">S10-U10-V10-W10-X10+AB10</f>
        <v>15.1179587619835</v>
      </c>
      <c r="AD10" s="38" t="n">
        <v>0.1</v>
      </c>
    </row>
    <row r="11" customFormat="false" ht="15" hidden="false" customHeight="false" outlineLevel="0" collapsed="false">
      <c r="A11" s="29" t="s">
        <v>220</v>
      </c>
      <c r="B11" s="29" t="s">
        <v>219</v>
      </c>
      <c r="C11" s="30" t="n">
        <v>1</v>
      </c>
      <c r="D11" s="31" t="n">
        <v>29</v>
      </c>
      <c r="E11" s="32" t="n">
        <f aca="false">D11/(1+Supuestos!$B$7)</f>
        <v>23.9669421487603</v>
      </c>
      <c r="F11" s="33" t="n">
        <v>2.5</v>
      </c>
      <c r="G11" s="33" t="n">
        <v>5.5</v>
      </c>
      <c r="H11" s="34" t="n">
        <f aca="false">AVERAGE(F11:G11)</f>
        <v>4</v>
      </c>
      <c r="I11" s="33" t="n">
        <v>1</v>
      </c>
      <c r="J11" s="33" t="n">
        <v>1.6</v>
      </c>
      <c r="K11" s="34" t="n">
        <f aca="false">AVERAGE(I11:J11)</f>
        <v>1.3</v>
      </c>
      <c r="L11" s="35" t="n">
        <f aca="false">Supuestos!$B$58</f>
        <v>0.55</v>
      </c>
      <c r="M11" s="35" t="n">
        <f aca="false">IF(B11="Parche",Supuestos!$B$61*C11,0)</f>
        <v>0</v>
      </c>
      <c r="N11" s="36" t="n">
        <f aca="false">IF(B11="Parche",Supuestos!$B$62*C11,Supuestos!$B$62)</f>
        <v>0.3</v>
      </c>
      <c r="O11" s="32" t="n">
        <f aca="false">(H11+L11+M11)*Supuestos!$B$6*(1+Supuestos!$B$63)+N11</f>
        <v>4.486</v>
      </c>
      <c r="P11" s="32" t="n">
        <f aca="false">(K11+L11+M11)*Supuestos!$B$6*(1+Supuestos!$B$64)+N11</f>
        <v>2.11263</v>
      </c>
      <c r="Q11" s="32" t="n">
        <f aca="false">E11-O11</f>
        <v>19.4809421487603</v>
      </c>
      <c r="R11" s="37" t="n">
        <f aca="false">Q11/E11</f>
        <v>0.812825517241379</v>
      </c>
      <c r="S11" s="32" t="n">
        <f aca="false">E11-P11</f>
        <v>21.8543121487603</v>
      </c>
      <c r="T11" s="37" t="n">
        <f aca="false">S11/E11</f>
        <v>0.911852334482759</v>
      </c>
      <c r="U11" s="36" t="n">
        <f aca="false">D11*Supuestos!$B$12+Supuestos!$B$13</f>
        <v>0.801</v>
      </c>
      <c r="V11" s="36" t="n">
        <f aca="false">IF(D11&gt;=Supuestos!$B$75,Supuestos!$B$26,0)</f>
        <v>0</v>
      </c>
      <c r="W11" s="36" t="n">
        <f aca="false">Supuestos!$B$31</f>
        <v>2.5</v>
      </c>
      <c r="X11" s="36" t="n">
        <f aca="false">Supuestos!$B$33</f>
        <v>0.35</v>
      </c>
      <c r="Y11" s="36" t="n">
        <f aca="false">-Supuestos!$B$34*Q11</f>
        <v>-0.58442826446281</v>
      </c>
      <c r="Z11" s="32" t="n">
        <f aca="false">Q11-U11-V11-W11-X11+Y11</f>
        <v>15.2455138842975</v>
      </c>
      <c r="AA11" s="37" t="n">
        <f aca="false">Z11/E11</f>
        <v>0.636105924137931</v>
      </c>
      <c r="AB11" s="36" t="n">
        <f aca="false">-Supuestos!$B$34*S11</f>
        <v>-0.65562936446281</v>
      </c>
      <c r="AC11" s="32" t="n">
        <f aca="false">S11-U11-V11-W11-X11+AB11</f>
        <v>17.5476827842975</v>
      </c>
      <c r="AD11" s="38" t="n">
        <v>0.1</v>
      </c>
    </row>
    <row r="12" customFormat="false" ht="15" hidden="false" customHeight="false" outlineLevel="0" collapsed="false">
      <c r="A12" s="29" t="s">
        <v>221</v>
      </c>
      <c r="B12" s="29" t="s">
        <v>219</v>
      </c>
      <c r="C12" s="30" t="n">
        <v>1</v>
      </c>
      <c r="D12" s="31" t="n">
        <v>29</v>
      </c>
      <c r="E12" s="32" t="n">
        <f aca="false">D12/(1+Supuestos!$B$7)</f>
        <v>23.9669421487603</v>
      </c>
      <c r="F12" s="33" t="n">
        <v>2</v>
      </c>
      <c r="G12" s="33" t="n">
        <v>4</v>
      </c>
      <c r="H12" s="34" t="n">
        <f aca="false">AVERAGE(F12:G12)</f>
        <v>3</v>
      </c>
      <c r="I12" s="33" t="n">
        <v>1</v>
      </c>
      <c r="J12" s="33" t="n">
        <v>2</v>
      </c>
      <c r="K12" s="34" t="n">
        <f aca="false">AVERAGE(I12:J12)</f>
        <v>1.5</v>
      </c>
      <c r="L12" s="35" t="n">
        <f aca="false">Supuestos!$B$58</f>
        <v>0.55</v>
      </c>
      <c r="M12" s="35" t="n">
        <f aca="false">IF(B12="Parche",Supuestos!$B$61*C12,0)</f>
        <v>0</v>
      </c>
      <c r="N12" s="36" t="n">
        <f aca="false">IF(B12="Parche",Supuestos!$B$62*C12,Supuestos!$B$62)</f>
        <v>0.3</v>
      </c>
      <c r="O12" s="32" t="n">
        <f aca="false">(H12+L12+M12)*Supuestos!$B$6*(1+Supuestos!$B$63)+N12</f>
        <v>3.566</v>
      </c>
      <c r="P12" s="32" t="n">
        <f aca="false">(K12+L12+M12)*Supuestos!$B$6*(1+Supuestos!$B$64)+N12</f>
        <v>2.30859</v>
      </c>
      <c r="Q12" s="32" t="n">
        <f aca="false">E12-O12</f>
        <v>20.4009421487603</v>
      </c>
      <c r="R12" s="37" t="n">
        <f aca="false">Q12/E12</f>
        <v>0.851211724137931</v>
      </c>
      <c r="S12" s="32" t="n">
        <f aca="false">E12-P12</f>
        <v>21.6583521487603</v>
      </c>
      <c r="T12" s="37" t="n">
        <f aca="false">S12/E12</f>
        <v>0.903676072413793</v>
      </c>
      <c r="U12" s="36" t="n">
        <f aca="false">D12*Supuestos!$B$12+Supuestos!$B$13</f>
        <v>0.801</v>
      </c>
      <c r="V12" s="36" t="n">
        <f aca="false">IF(D12&gt;=Supuestos!$B$75,Supuestos!$B$26,0)</f>
        <v>0</v>
      </c>
      <c r="W12" s="36" t="n">
        <f aca="false">Supuestos!$B$31</f>
        <v>2.5</v>
      </c>
      <c r="X12" s="36" t="n">
        <f aca="false">Supuestos!$B$33</f>
        <v>0.35</v>
      </c>
      <c r="Y12" s="36" t="n">
        <f aca="false">-Supuestos!$B$34*Q12</f>
        <v>-0.61202826446281</v>
      </c>
      <c r="Z12" s="32" t="n">
        <f aca="false">Q12-U12-V12-W12-X12+Y12</f>
        <v>16.1379138842975</v>
      </c>
      <c r="AA12" s="37" t="n">
        <f aca="false">Z12/E12</f>
        <v>0.673340544827586</v>
      </c>
      <c r="AB12" s="36" t="n">
        <f aca="false">-Supuestos!$B$34*S12</f>
        <v>-0.64975056446281</v>
      </c>
      <c r="AC12" s="32" t="n">
        <f aca="false">S12-U12-V12-W12-X12+AB12</f>
        <v>17.3576015842975</v>
      </c>
      <c r="AD12" s="38" t="n">
        <v>0.08</v>
      </c>
    </row>
    <row r="13" customFormat="false" ht="15" hidden="false" customHeight="false" outlineLevel="0" collapsed="false">
      <c r="A13" s="29" t="s">
        <v>222</v>
      </c>
      <c r="B13" s="29" t="s">
        <v>219</v>
      </c>
      <c r="C13" s="30" t="n">
        <v>4</v>
      </c>
      <c r="D13" s="31" t="n">
        <v>15</v>
      </c>
      <c r="E13" s="32" t="n">
        <f aca="false">D13/(1+Supuestos!$B$7)</f>
        <v>12.396694214876</v>
      </c>
      <c r="F13" s="33" t="n">
        <v>2</v>
      </c>
      <c r="G13" s="33" t="n">
        <v>8</v>
      </c>
      <c r="H13" s="34" t="n">
        <f aca="false">AVERAGE(F13:G13)</f>
        <v>5</v>
      </c>
      <c r="I13" s="33" t="n">
        <v>0.6</v>
      </c>
      <c r="J13" s="33" t="n">
        <v>1.6</v>
      </c>
      <c r="K13" s="34" t="n">
        <f aca="false">AVERAGE(I13:J13)</f>
        <v>1.1</v>
      </c>
      <c r="L13" s="35" t="n">
        <f aca="false">Supuestos!$B$58</f>
        <v>0.55</v>
      </c>
      <c r="M13" s="35" t="n">
        <f aca="false">IF(B13="Parche",Supuestos!$B$61*C13,0)</f>
        <v>0</v>
      </c>
      <c r="N13" s="36" t="n">
        <f aca="false">IF(B13="Parche",Supuestos!$B$62*C13,Supuestos!$B$62)</f>
        <v>0.3</v>
      </c>
      <c r="O13" s="32" t="n">
        <f aca="false">(H13+L13+M13)*Supuestos!$B$6*(1+Supuestos!$B$63)+N13</f>
        <v>5.406</v>
      </c>
      <c r="P13" s="32" t="n">
        <f aca="false">(K13+L13+M13)*Supuestos!$B$6*(1+Supuestos!$B$64)+N13</f>
        <v>1.91667</v>
      </c>
      <c r="Q13" s="32" t="n">
        <f aca="false">E13-O13</f>
        <v>6.99069421487603</v>
      </c>
      <c r="R13" s="37" t="n">
        <f aca="false">Q13/E13</f>
        <v>0.563916</v>
      </c>
      <c r="S13" s="32" t="n">
        <f aca="false">E13-P13</f>
        <v>10.480024214876</v>
      </c>
      <c r="T13" s="37" t="n">
        <f aca="false">S13/E13</f>
        <v>0.84538862</v>
      </c>
      <c r="U13" s="36" t="n">
        <f aca="false">D13*Supuestos!$B$12+Supuestos!$B$13</f>
        <v>0.535</v>
      </c>
      <c r="V13" s="36" t="n">
        <f aca="false">IF(D13&gt;=Supuestos!$B$75,Supuestos!$B$26,0)</f>
        <v>0</v>
      </c>
      <c r="W13" s="36" t="n">
        <f aca="false">Supuestos!$B$31</f>
        <v>2.5</v>
      </c>
      <c r="X13" s="36" t="n">
        <f aca="false">Supuestos!$B$33</f>
        <v>0.35</v>
      </c>
      <c r="Y13" s="36" t="n">
        <f aca="false">-Supuestos!$B$34*Q13</f>
        <v>-0.209720826446281</v>
      </c>
      <c r="Z13" s="32" t="n">
        <f aca="false">Q13-U13-V13-W13-X13+Y13</f>
        <v>3.39597338842975</v>
      </c>
      <c r="AA13" s="37" t="n">
        <f aca="false">Z13/E13</f>
        <v>0.273941853333333</v>
      </c>
      <c r="AB13" s="36" t="n">
        <f aca="false">-Supuestos!$B$34*S13</f>
        <v>-0.314400726446281</v>
      </c>
      <c r="AC13" s="32" t="n">
        <f aca="false">S13-U13-V13-W13-X13+AB13</f>
        <v>6.78062348842975</v>
      </c>
      <c r="AD13" s="38" t="n">
        <v>0.06</v>
      </c>
    </row>
    <row r="14" customFormat="false" ht="15" hidden="false" customHeight="false" outlineLevel="0" collapsed="false">
      <c r="A14" s="29" t="s">
        <v>223</v>
      </c>
      <c r="B14" s="29" t="s">
        <v>219</v>
      </c>
      <c r="C14" s="30" t="n">
        <v>1</v>
      </c>
      <c r="D14" s="31" t="n">
        <v>25</v>
      </c>
      <c r="E14" s="32" t="n">
        <f aca="false">D14/(1+Supuestos!$B$7)</f>
        <v>20.6611570247934</v>
      </c>
      <c r="F14" s="33" t="n">
        <v>1.5</v>
      </c>
      <c r="G14" s="33" t="n">
        <v>5</v>
      </c>
      <c r="H14" s="34" t="n">
        <f aca="false">AVERAGE(F14:G14)</f>
        <v>3.25</v>
      </c>
      <c r="I14" s="33" t="n">
        <v>0.8</v>
      </c>
      <c r="J14" s="33" t="n">
        <v>2</v>
      </c>
      <c r="K14" s="34" t="n">
        <f aca="false">AVERAGE(I14:J14)</f>
        <v>1.4</v>
      </c>
      <c r="L14" s="35" t="n">
        <f aca="false">Supuestos!$B$58</f>
        <v>0.55</v>
      </c>
      <c r="M14" s="35" t="n">
        <f aca="false">IF(B14="Parche",Supuestos!$B$61*C14,0)</f>
        <v>0</v>
      </c>
      <c r="N14" s="36" t="n">
        <f aca="false">IF(B14="Parche",Supuestos!$B$62*C14,Supuestos!$B$62)</f>
        <v>0.3</v>
      </c>
      <c r="O14" s="32" t="n">
        <f aca="false">(H14+L14+M14)*Supuestos!$B$6*(1+Supuestos!$B$63)+N14</f>
        <v>3.796</v>
      </c>
      <c r="P14" s="32" t="n">
        <f aca="false">(K14+L14+M14)*Supuestos!$B$6*(1+Supuestos!$B$64)+N14</f>
        <v>2.21061</v>
      </c>
      <c r="Q14" s="32" t="n">
        <f aca="false">E14-O14</f>
        <v>16.8651570247934</v>
      </c>
      <c r="R14" s="37" t="n">
        <f aca="false">Q14/E14</f>
        <v>0.8162736</v>
      </c>
      <c r="S14" s="32" t="n">
        <f aca="false">E14-P14</f>
        <v>18.4505470247934</v>
      </c>
      <c r="T14" s="37" t="n">
        <f aca="false">S14/E14</f>
        <v>0.893006476</v>
      </c>
      <c r="U14" s="36" t="n">
        <f aca="false">D14*Supuestos!$B$12+Supuestos!$B$13</f>
        <v>0.725</v>
      </c>
      <c r="V14" s="36" t="n">
        <f aca="false">IF(D14&gt;=Supuestos!$B$75,Supuestos!$B$26,0)</f>
        <v>0</v>
      </c>
      <c r="W14" s="36" t="n">
        <f aca="false">Supuestos!$B$31</f>
        <v>2.5</v>
      </c>
      <c r="X14" s="36" t="n">
        <f aca="false">Supuestos!$B$33</f>
        <v>0.35</v>
      </c>
      <c r="Y14" s="36" t="n">
        <f aca="false">-Supuestos!$B$34*Q14</f>
        <v>-0.505954710743802</v>
      </c>
      <c r="Z14" s="32" t="n">
        <f aca="false">Q14-U14-V14-W14-X14+Y14</f>
        <v>12.7842023140496</v>
      </c>
      <c r="AA14" s="37" t="n">
        <f aca="false">Z14/E14</f>
        <v>0.618755392</v>
      </c>
      <c r="AB14" s="36" t="n">
        <f aca="false">-Supuestos!$B$34*S14</f>
        <v>-0.553516410743802</v>
      </c>
      <c r="AC14" s="32" t="n">
        <f aca="false">S14-U14-V14-W14-X14+AB14</f>
        <v>14.3220306140496</v>
      </c>
      <c r="AD14" s="38" t="n">
        <v>0.06</v>
      </c>
    </row>
    <row r="15" customFormat="false" ht="15" hidden="false" customHeight="false" outlineLevel="0" collapsed="false">
      <c r="A15" s="29" t="s">
        <v>224</v>
      </c>
      <c r="B15" s="29" t="s">
        <v>225</v>
      </c>
      <c r="C15" s="30" t="n">
        <v>1</v>
      </c>
      <c r="D15" s="31" t="n">
        <v>44</v>
      </c>
      <c r="E15" s="32" t="n">
        <f aca="false">D15/(1+Supuestos!$B$7)</f>
        <v>36.3636363636364</v>
      </c>
      <c r="F15" s="39" t="s">
        <v>226</v>
      </c>
      <c r="G15" s="39" t="s">
        <v>227</v>
      </c>
      <c r="H15" s="35" t="n">
        <f aca="false">H5+H10</f>
        <v>7.1</v>
      </c>
      <c r="I15" s="39" t="s">
        <v>227</v>
      </c>
      <c r="J15" s="39" t="s">
        <v>227</v>
      </c>
      <c r="K15" s="35" t="n">
        <f aca="false">K5+K10</f>
        <v>3.19</v>
      </c>
      <c r="L15" s="35" t="n">
        <f aca="false">Supuestos!$B$58</f>
        <v>0.55</v>
      </c>
      <c r="M15" s="35" t="n">
        <f aca="false">M5+M10</f>
        <v>2.66666666666667</v>
      </c>
      <c r="N15" s="36" t="n">
        <f aca="false">N5+N10</f>
        <v>2.7</v>
      </c>
      <c r="O15" s="32" t="n">
        <f aca="false">(H15+L15+M15)*Supuestos!$B$6*(1+Supuestos!$B$63)+N15</f>
        <v>12.1913333333333</v>
      </c>
      <c r="P15" s="32" t="n">
        <f aca="false">(K15+L15+M15)*Supuestos!$B$6*(1+Supuestos!$B$64)+N15</f>
        <v>8.977252</v>
      </c>
      <c r="Q15" s="32" t="n">
        <f aca="false">E15-O15</f>
        <v>24.172303030303</v>
      </c>
      <c r="R15" s="37" t="n">
        <f aca="false">Q15/E15</f>
        <v>0.664738333333333</v>
      </c>
      <c r="S15" s="32" t="n">
        <f aca="false">E15-P15</f>
        <v>27.3863843636364</v>
      </c>
      <c r="T15" s="37" t="n">
        <f aca="false">S15/E15</f>
        <v>0.75312557</v>
      </c>
      <c r="U15" s="36" t="n">
        <f aca="false">D15*Supuestos!$B$12+Supuestos!$B$13</f>
        <v>1.086</v>
      </c>
      <c r="V15" s="36" t="n">
        <f aca="false">IF(D15&gt;=Supuestos!$B$75,Supuestos!$B$26,0)</f>
        <v>4.35</v>
      </c>
      <c r="W15" s="36" t="n">
        <f aca="false">Supuestos!$B$31</f>
        <v>2.5</v>
      </c>
      <c r="X15" s="36" t="n">
        <f aca="false">Supuestos!$B$33</f>
        <v>0.35</v>
      </c>
      <c r="Y15" s="36" t="n">
        <f aca="false">-Supuestos!$B$34*Q15</f>
        <v>-0.725169090909091</v>
      </c>
      <c r="Z15" s="32" t="n">
        <f aca="false">Q15-U15-V15-W15-X15+Y15</f>
        <v>15.1611339393939</v>
      </c>
      <c r="AA15" s="37" t="n">
        <f aca="false">Z15/E15</f>
        <v>0.416931183333333</v>
      </c>
      <c r="AB15" s="36" t="n">
        <f aca="false">-Supuestos!$B$34*S15</f>
        <v>-0.821591530909091</v>
      </c>
      <c r="AC15" s="32" t="n">
        <f aca="false">S15-U15-V15-W15-X15+AB15</f>
        <v>18.2787928327273</v>
      </c>
      <c r="AD15" s="38" t="n">
        <v>0.03</v>
      </c>
    </row>
    <row r="16" customFormat="false" ht="15" hidden="false" customHeight="false" outlineLevel="0" collapsed="false">
      <c r="A16" s="29" t="s">
        <v>228</v>
      </c>
      <c r="B16" s="29" t="s">
        <v>225</v>
      </c>
      <c r="C16" s="30" t="n">
        <v>1</v>
      </c>
      <c r="D16" s="31" t="n">
        <v>44</v>
      </c>
      <c r="E16" s="32" t="n">
        <f aca="false">D16/(1+Supuestos!$B$7)</f>
        <v>36.3636363636364</v>
      </c>
      <c r="F16" s="39" t="s">
        <v>226</v>
      </c>
      <c r="G16" s="39" t="s">
        <v>227</v>
      </c>
      <c r="H16" s="35" t="n">
        <f aca="false">H9+H5+H8</f>
        <v>9.45</v>
      </c>
      <c r="I16" s="39" t="s">
        <v>227</v>
      </c>
      <c r="J16" s="39" t="s">
        <v>227</v>
      </c>
      <c r="K16" s="35" t="n">
        <f aca="false">K9+K5+K8</f>
        <v>3.78</v>
      </c>
      <c r="L16" s="35" t="n">
        <f aca="false">Supuestos!$B$58</f>
        <v>0.55</v>
      </c>
      <c r="M16" s="35" t="n">
        <f aca="false">M9+M5+M8</f>
        <v>7</v>
      </c>
      <c r="N16" s="36" t="n">
        <f aca="false">N9+N5+N8</f>
        <v>6.3</v>
      </c>
      <c r="O16" s="32" t="n">
        <f aca="false">(H16+L16+M16)*Supuestos!$B$6*(1+Supuestos!$B$63)+N16</f>
        <v>21.94</v>
      </c>
      <c r="P16" s="32" t="n">
        <f aca="false">(K16+L16+M16)*Supuestos!$B$6*(1+Supuestos!$B$64)+N16</f>
        <v>17.401134</v>
      </c>
      <c r="Q16" s="32" t="n">
        <f aca="false">E16-O16</f>
        <v>14.4236363636364</v>
      </c>
      <c r="R16" s="37" t="n">
        <f aca="false">Q16/E16</f>
        <v>0.39665</v>
      </c>
      <c r="S16" s="32" t="n">
        <f aca="false">E16-P16</f>
        <v>18.9625023636364</v>
      </c>
      <c r="T16" s="37" t="n">
        <f aca="false">S16/E16</f>
        <v>0.521468815</v>
      </c>
      <c r="U16" s="36" t="n">
        <f aca="false">D16*Supuestos!$B$12+Supuestos!$B$13</f>
        <v>1.086</v>
      </c>
      <c r="V16" s="36" t="n">
        <f aca="false">IF(D16&gt;=Supuestos!$B$75,Supuestos!$B$26,0)</f>
        <v>4.35</v>
      </c>
      <c r="W16" s="36" t="n">
        <f aca="false">Supuestos!$B$31</f>
        <v>2.5</v>
      </c>
      <c r="X16" s="36" t="n">
        <f aca="false">Supuestos!$B$33</f>
        <v>0.35</v>
      </c>
      <c r="Y16" s="36" t="n">
        <f aca="false">-Supuestos!$B$34*Q16</f>
        <v>-0.432709090909091</v>
      </c>
      <c r="Z16" s="32" t="n">
        <f aca="false">Q16-U16-V16-W16-X16+Y16</f>
        <v>5.70492727272728</v>
      </c>
      <c r="AA16" s="37" t="n">
        <f aca="false">Z16/E16</f>
        <v>0.1568855</v>
      </c>
      <c r="AB16" s="36" t="n">
        <f aca="false">-Supuestos!$B$34*S16</f>
        <v>-0.568875070909091</v>
      </c>
      <c r="AC16" s="32" t="n">
        <f aca="false">S16-U16-V16-W16-X16+AB16</f>
        <v>10.1076272927273</v>
      </c>
      <c r="AD16" s="38" t="n">
        <v>0.02</v>
      </c>
    </row>
    <row r="17" customFormat="false" ht="15" hidden="false" customHeight="false" outlineLevel="0" collapsed="false">
      <c r="A17" s="29" t="s">
        <v>229</v>
      </c>
      <c r="B17" s="29" t="s">
        <v>225</v>
      </c>
      <c r="C17" s="30" t="n">
        <v>1</v>
      </c>
      <c r="D17" s="31" t="n">
        <v>69</v>
      </c>
      <c r="E17" s="32" t="n">
        <f aca="false">D17/(1+Supuestos!$B$7)</f>
        <v>57.0247933884298</v>
      </c>
      <c r="F17" s="39" t="s">
        <v>226</v>
      </c>
      <c r="G17" s="39" t="s">
        <v>227</v>
      </c>
      <c r="H17" s="35" t="n">
        <f aca="false">H5+H7+H8+H9+H6</f>
        <v>13.075</v>
      </c>
      <c r="I17" s="39" t="s">
        <v>227</v>
      </c>
      <c r="J17" s="39" t="s">
        <v>227</v>
      </c>
      <c r="K17" s="35" t="n">
        <f aca="false">K5+K7+K8+K9+K6</f>
        <v>6.53</v>
      </c>
      <c r="L17" s="35" t="n">
        <f aca="false">Supuestos!$B$58</f>
        <v>0.55</v>
      </c>
      <c r="M17" s="35" t="n">
        <f aca="false">M5+M7+M8+M9+M6</f>
        <v>22.3333333333333</v>
      </c>
      <c r="N17" s="36" t="n">
        <f aca="false">N5+N7+N8+N9+N6</f>
        <v>20.1</v>
      </c>
      <c r="O17" s="32" t="n">
        <f aca="false">(H17+L17+M17)*Supuestos!$B$6*(1+Supuestos!$B$63)+N17</f>
        <v>53.1816666666667</v>
      </c>
      <c r="P17" s="32" t="n">
        <f aca="false">(K17+L17+M17)*Supuestos!$B$6*(1+Supuestos!$B$64)+N17</f>
        <v>48.919184</v>
      </c>
      <c r="Q17" s="32" t="n">
        <f aca="false">E17-O17</f>
        <v>3.84312672176309</v>
      </c>
      <c r="R17" s="37" t="n">
        <f aca="false">Q17/E17</f>
        <v>0.0673939613526571</v>
      </c>
      <c r="S17" s="32" t="n">
        <f aca="false">E17-P17</f>
        <v>8.10560938842976</v>
      </c>
      <c r="T17" s="37" t="n">
        <f aca="false">S17/E17</f>
        <v>0.142141845797101</v>
      </c>
      <c r="U17" s="36" t="n">
        <f aca="false">D17*Supuestos!$B$12+Supuestos!$B$13</f>
        <v>1.561</v>
      </c>
      <c r="V17" s="36" t="n">
        <f aca="false">IF(D17&gt;=Supuestos!$B$75,Supuestos!$B$26,0)</f>
        <v>4.35</v>
      </c>
      <c r="W17" s="36" t="n">
        <f aca="false">Supuestos!$B$31</f>
        <v>2.5</v>
      </c>
      <c r="X17" s="36" t="n">
        <f aca="false">Supuestos!$B$33</f>
        <v>0.35</v>
      </c>
      <c r="Y17" s="36" t="n">
        <f aca="false">-Supuestos!$B$34*Q17</f>
        <v>-0.115293801652893</v>
      </c>
      <c r="Z17" s="32" t="n">
        <f aca="false">Q17-U17-V17-W17-X17+Y17</f>
        <v>-5.0331670798898</v>
      </c>
      <c r="AA17" s="37" t="n">
        <f aca="false">Z17/E17</f>
        <v>-0.0882627850241545</v>
      </c>
      <c r="AB17" s="36" t="n">
        <f aca="false">-Supuestos!$B$34*S17</f>
        <v>-0.243168281652893</v>
      </c>
      <c r="AC17" s="32" t="n">
        <f aca="false">S17-U17-V17-W17-X17+AB17</f>
        <v>-0.898558893223138</v>
      </c>
      <c r="AD17" s="38" t="n">
        <v>0.01</v>
      </c>
    </row>
    <row r="19" customFormat="false" ht="15" hidden="false" customHeight="false" outlineLevel="0" collapsed="false">
      <c r="A19" s="40" t="s">
        <v>230</v>
      </c>
      <c r="D19" s="41" t="n">
        <f aca="false">SUMPRODUCT(AD5:AD17,D5:D17)/SUM(AD5:AD17)</f>
        <v>22.663</v>
      </c>
      <c r="E19" s="41" t="n">
        <f aca="false">SUMPRODUCT(AD5:AD17,E5:E17)/SUM(AD5:AD17)</f>
        <v>18.7297520661157</v>
      </c>
      <c r="O19" s="41" t="n">
        <f aca="false">SUMPRODUCT(AD5:AD17,O5:O17)/SUM(AD5:AD17)</f>
        <v>9.28662333333333</v>
      </c>
      <c r="U19" s="41" t="n">
        <f aca="false">SUMPRODUCT(AD5:AD17,U5:U17)/SUM(AD5:AD17)</f>
        <v>0.680597</v>
      </c>
      <c r="V19" s="41" t="n">
        <f aca="false">SUMPRODUCT(AD5:AD17,V5:V17)/SUM(AD5:AD17)</f>
        <v>0.696</v>
      </c>
      <c r="W19" s="41" t="n">
        <f aca="false">SUMPRODUCT(AD5:AD17,W5:W17)/SUM(AD5:AD17)</f>
        <v>2.5</v>
      </c>
      <c r="X19" s="41" t="n">
        <f aca="false">SUMPRODUCT(AD5:AD17,X5:X17)/SUM(AD5:AD17)</f>
        <v>0.35</v>
      </c>
      <c r="Y19" s="41" t="n">
        <f aca="false">SUMPRODUCT(AD5:AD17,Y5:Y17)/SUM(AD5:AD17)</f>
        <v>-0.283293861983471</v>
      </c>
      <c r="Z19" s="41" t="n">
        <f aca="false">SUMPRODUCT(AD5:AD17,Z5:Z17)/SUM(AD5:AD17)</f>
        <v>4.9332378707989</v>
      </c>
      <c r="AD19" s="42" t="n">
        <f aca="false">SUM(AD5:AD17)</f>
        <v>1</v>
      </c>
    </row>
  </sheetData>
  <mergeCells count="1">
    <mergeCell ref="A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14" min="3" style="0" width="10.5"/>
  </cols>
  <sheetData>
    <row r="1" customFormat="false" ht="17.35" hidden="false" customHeight="fals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232</v>
      </c>
    </row>
    <row r="4" customFormat="false" ht="25.5" hidden="false" customHeight="true" outlineLevel="0" collapsed="false">
      <c r="A4" s="28" t="s">
        <v>233</v>
      </c>
      <c r="B4" s="28" t="s">
        <v>234</v>
      </c>
      <c r="C4" s="28" t="s">
        <v>235</v>
      </c>
      <c r="D4" s="28" t="s">
        <v>236</v>
      </c>
      <c r="E4" s="28" t="s">
        <v>237</v>
      </c>
      <c r="F4" s="28" t="s">
        <v>238</v>
      </c>
      <c r="G4" s="28" t="s">
        <v>239</v>
      </c>
      <c r="H4" s="28" t="s">
        <v>240</v>
      </c>
      <c r="I4" s="28" t="s">
        <v>241</v>
      </c>
      <c r="J4" s="28" t="s">
        <v>242</v>
      </c>
      <c r="K4" s="28" t="s">
        <v>243</v>
      </c>
      <c r="L4" s="28" t="s">
        <v>244</v>
      </c>
      <c r="M4" s="28" t="s">
        <v>245</v>
      </c>
      <c r="N4" s="28" t="s">
        <v>246</v>
      </c>
    </row>
    <row r="5" customFormat="false" ht="15" hidden="false" customHeight="false" outlineLevel="0" collapsed="false">
      <c r="A5" s="43" t="s">
        <v>247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customFormat="false" ht="15" hidden="false" customHeight="false" outlineLevel="0" collapsed="false">
      <c r="A6" s="29" t="s">
        <v>248</v>
      </c>
      <c r="B6" s="44" t="n">
        <f aca="false">AVERAGE(C6:N6)</f>
        <v>12.75</v>
      </c>
      <c r="C6" s="45" t="n">
        <f aca="false">IF(1&gt;=6,Supuestos!$B$117,Supuestos!$B$116+(Supuestos!$B$117-Supuestos!$B$116)*(1-1)/5)</f>
        <v>18</v>
      </c>
      <c r="D6" s="45" t="n">
        <f aca="false">IF(2&gt;=6,Supuestos!$B$117,Supuestos!$B$116+(Supuestos!$B$117-Supuestos!$B$116)*(2-1)/5)</f>
        <v>16.6</v>
      </c>
      <c r="E6" s="45" t="n">
        <f aca="false">IF(3&gt;=6,Supuestos!$B$117,Supuestos!$B$116+(Supuestos!$B$117-Supuestos!$B$116)*(3-1)/5)</f>
        <v>15.2</v>
      </c>
      <c r="F6" s="45" t="n">
        <f aca="false">IF(4&gt;=6,Supuestos!$B$117,Supuestos!$B$116+(Supuestos!$B$117-Supuestos!$B$116)*(4-1)/5)</f>
        <v>13.8</v>
      </c>
      <c r="G6" s="45" t="n">
        <f aca="false">IF(5&gt;=6,Supuestos!$B$117,Supuestos!$B$116+(Supuestos!$B$117-Supuestos!$B$116)*(5-1)/5)</f>
        <v>12.4</v>
      </c>
      <c r="H6" s="45" t="n">
        <f aca="false">IF(6&gt;=6,Supuestos!$B$117,Supuestos!$B$116+(Supuestos!$B$117-Supuestos!$B$116)*(6-1)/5)</f>
        <v>11</v>
      </c>
      <c r="I6" s="45" t="n">
        <f aca="false">IF(7&gt;=6,Supuestos!$B$117,Supuestos!$B$116+(Supuestos!$B$117-Supuestos!$B$116)*(7-1)/5)</f>
        <v>11</v>
      </c>
      <c r="J6" s="45" t="n">
        <f aca="false">IF(8&gt;=6,Supuestos!$B$117,Supuestos!$B$116+(Supuestos!$B$117-Supuestos!$B$116)*(8-1)/5)</f>
        <v>11</v>
      </c>
      <c r="K6" s="45" t="n">
        <f aca="false">IF(9&gt;=6,Supuestos!$B$117,Supuestos!$B$116+(Supuestos!$B$117-Supuestos!$B$116)*(9-1)/5)</f>
        <v>11</v>
      </c>
      <c r="L6" s="45" t="n">
        <f aca="false">IF(10&gt;=6,Supuestos!$B$117,Supuestos!$B$116+(Supuestos!$B$117-Supuestos!$B$116)*(10-1)/5)</f>
        <v>11</v>
      </c>
      <c r="M6" s="45" t="n">
        <f aca="false">IF(11&gt;=6,Supuestos!$B$117,Supuestos!$B$116+(Supuestos!$B$117-Supuestos!$B$116)*(11-1)/5)</f>
        <v>11</v>
      </c>
      <c r="N6" s="45" t="n">
        <f aca="false">IF(12&gt;=6,Supuestos!$B$117,Supuestos!$B$116+(Supuestos!$B$117-Supuestos!$B$116)*(12-1)/5)</f>
        <v>11</v>
      </c>
    </row>
    <row r="7" customFormat="false" ht="15" hidden="false" customHeight="false" outlineLevel="0" collapsed="false">
      <c r="A7" s="29" t="s">
        <v>249</v>
      </c>
      <c r="B7" s="46" t="n">
        <f aca="false">SUM(C7:N7)</f>
        <v>71396.70528</v>
      </c>
      <c r="C7" s="47" t="n">
        <f aca="false">Supuestos!$B$47</f>
        <v>3000</v>
      </c>
      <c r="D7" s="47" t="n">
        <f aca="false">MIN(IF(C43&gt;=Supuestos!$B$46,C7*(1+Supuestos!$B$120),C7),Supuestos!$B$121)</f>
        <v>3000</v>
      </c>
      <c r="E7" s="47" t="n">
        <f aca="false">MIN(IF(D43&gt;=Supuestos!$B$46,D7*(1+Supuestos!$B$120),D7),Supuestos!$B$121)</f>
        <v>3000</v>
      </c>
      <c r="F7" s="47" t="n">
        <f aca="false">MIN(IF(E43&gt;=Supuestos!$B$46,E7*(1+Supuestos!$B$120),E7),Supuestos!$B$121)</f>
        <v>3000</v>
      </c>
      <c r="G7" s="47" t="n">
        <f aca="false">MIN(IF(F43&gt;=Supuestos!$B$46,F7*(1+Supuestos!$B$120),F7),Supuestos!$B$121)</f>
        <v>3600</v>
      </c>
      <c r="H7" s="47" t="n">
        <f aca="false">MIN(IF(G43&gt;=Supuestos!$B$46,G7*(1+Supuestos!$B$120),G7),Supuestos!$B$121)</f>
        <v>4320</v>
      </c>
      <c r="I7" s="47" t="n">
        <f aca="false">MIN(IF(H43&gt;=Supuestos!$B$46,H7*(1+Supuestos!$B$120),H7),Supuestos!$B$121)</f>
        <v>5184</v>
      </c>
      <c r="J7" s="47" t="n">
        <f aca="false">MIN(IF(I43&gt;=Supuestos!$B$46,I7*(1+Supuestos!$B$120),I7),Supuestos!$B$121)</f>
        <v>6220.8</v>
      </c>
      <c r="K7" s="47" t="n">
        <f aca="false">MIN(IF(J43&gt;=Supuestos!$B$46,J7*(1+Supuestos!$B$120),J7),Supuestos!$B$121)</f>
        <v>7464.96</v>
      </c>
      <c r="L7" s="47" t="n">
        <f aca="false">MIN(IF(K43&gt;=Supuestos!$B$46,K7*(1+Supuestos!$B$120),K7),Supuestos!$B$121)</f>
        <v>8957.952</v>
      </c>
      <c r="M7" s="47" t="n">
        <f aca="false">MIN(IF(L43&gt;=Supuestos!$B$46,L7*(1+Supuestos!$B$120),L7),Supuestos!$B$121)</f>
        <v>10749.5424</v>
      </c>
      <c r="N7" s="47" t="n">
        <f aca="false">MIN(IF(M43&gt;=Supuestos!$B$46,M7*(1+Supuestos!$B$120),M7),Supuestos!$B$121)</f>
        <v>12899.45088</v>
      </c>
    </row>
    <row r="8" customFormat="false" ht="15" hidden="false" customHeight="false" outlineLevel="0" collapsed="false">
      <c r="A8" s="29" t="s">
        <v>250</v>
      </c>
      <c r="B8" s="48" t="n">
        <f aca="false">SUM(C8:N8)</f>
        <v>6124.89961700582</v>
      </c>
      <c r="C8" s="49" t="n">
        <f aca="false">IFERROR(C7/C6,0)</f>
        <v>166.666666666667</v>
      </c>
      <c r="D8" s="49" t="n">
        <f aca="false">IFERROR(D7/D6,0)</f>
        <v>180.722891566265</v>
      </c>
      <c r="E8" s="49" t="n">
        <f aca="false">IFERROR(E7/E6,0)</f>
        <v>197.368421052632</v>
      </c>
      <c r="F8" s="49" t="n">
        <f aca="false">IFERROR(F7/F6,0)</f>
        <v>217.391304347826</v>
      </c>
      <c r="G8" s="49" t="n">
        <f aca="false">IFERROR(G7/G6,0)</f>
        <v>290.322580645161</v>
      </c>
      <c r="H8" s="49" t="n">
        <f aca="false">IFERROR(H7/H6,0)</f>
        <v>392.727272727273</v>
      </c>
      <c r="I8" s="49" t="n">
        <f aca="false">IFERROR(I7/I6,0)</f>
        <v>471.272727272727</v>
      </c>
      <c r="J8" s="49" t="n">
        <f aca="false">IFERROR(J7/J6,0)</f>
        <v>565.527272727273</v>
      </c>
      <c r="K8" s="49" t="n">
        <f aca="false">IFERROR(K7/K6,0)</f>
        <v>678.632727272727</v>
      </c>
      <c r="L8" s="49" t="n">
        <f aca="false">IFERROR(L7/L6,0)</f>
        <v>814.359272727273</v>
      </c>
      <c r="M8" s="49" t="n">
        <f aca="false">IFERROR(M7/M6,0)</f>
        <v>977.231127272727</v>
      </c>
      <c r="N8" s="49" t="n">
        <f aca="false">IFERROR(N7/N6,0)</f>
        <v>1172.67735272727</v>
      </c>
    </row>
    <row r="9" customFormat="false" ht="15" hidden="false" customHeight="false" outlineLevel="0" collapsed="false">
      <c r="A9" s="29" t="s">
        <v>251</v>
      </c>
      <c r="B9" s="48" t="n">
        <f aca="false">SUM(C9:N9)</f>
        <v>918.734942550874</v>
      </c>
      <c r="C9" s="49" t="n">
        <f aca="false">C8*Supuestos!$B$122</f>
        <v>25</v>
      </c>
      <c r="D9" s="49" t="n">
        <f aca="false">D8*Supuestos!$B$122</f>
        <v>27.1084337349398</v>
      </c>
      <c r="E9" s="49" t="n">
        <f aca="false">E8*Supuestos!$B$122</f>
        <v>29.6052631578947</v>
      </c>
      <c r="F9" s="49" t="n">
        <f aca="false">F8*Supuestos!$B$122</f>
        <v>32.6086956521739</v>
      </c>
      <c r="G9" s="49" t="n">
        <f aca="false">G8*Supuestos!$B$122</f>
        <v>43.5483870967742</v>
      </c>
      <c r="H9" s="49" t="n">
        <f aca="false">H8*Supuestos!$B$122</f>
        <v>58.9090909090909</v>
      </c>
      <c r="I9" s="49" t="n">
        <f aca="false">I8*Supuestos!$B$122</f>
        <v>70.6909090909091</v>
      </c>
      <c r="J9" s="49" t="n">
        <f aca="false">J8*Supuestos!$B$122</f>
        <v>84.8290909090909</v>
      </c>
      <c r="K9" s="49" t="n">
        <f aca="false">K8*Supuestos!$B$122</f>
        <v>101.794909090909</v>
      </c>
      <c r="L9" s="49" t="n">
        <f aca="false">L8*Supuestos!$B$122</f>
        <v>122.153890909091</v>
      </c>
      <c r="M9" s="49" t="n">
        <f aca="false">M8*Supuestos!$B$122</f>
        <v>146.584669090909</v>
      </c>
      <c r="N9" s="49" t="n">
        <f aca="false">N8*Supuestos!$B$122</f>
        <v>175.901602909091</v>
      </c>
    </row>
    <row r="10" customFormat="false" ht="15" hidden="false" customHeight="false" outlineLevel="0" collapsed="false">
      <c r="A10" s="29" t="s">
        <v>252</v>
      </c>
      <c r="B10" s="48" t="n">
        <f aca="false">N10</f>
        <v>485.242976846071</v>
      </c>
      <c r="C10" s="49" t="n">
        <f aca="false">0</f>
        <v>0</v>
      </c>
      <c r="D10" s="49" t="n">
        <f aca="false">C10*(1-Supuestos!$B$103)+C9</f>
        <v>25</v>
      </c>
      <c r="E10" s="49" t="n">
        <f aca="false">D10*(1-Supuestos!$B$103)+D9</f>
        <v>48.3584337349398</v>
      </c>
      <c r="F10" s="49" t="n">
        <f aca="false">E10*(1-Supuestos!$B$103)+E9</f>
        <v>70.7099318325935</v>
      </c>
      <c r="G10" s="49" t="n">
        <f aca="false">F10*(1-Supuestos!$B$103)+F9</f>
        <v>92.7121377098784</v>
      </c>
      <c r="H10" s="49" t="n">
        <f aca="false">G10*(1-Supuestos!$B$103)+G9</f>
        <v>122.353704150171</v>
      </c>
      <c r="I10" s="49" t="n">
        <f aca="false">H10*(1-Supuestos!$B$103)+H9</f>
        <v>162.909739436736</v>
      </c>
      <c r="J10" s="49" t="n">
        <f aca="false">I10*(1-Supuestos!$B$103)+I9</f>
        <v>209.164187612135</v>
      </c>
      <c r="K10" s="49" t="n">
        <f aca="false">J10*(1-Supuestos!$B$103)+J9</f>
        <v>262.618650379406</v>
      </c>
      <c r="L10" s="49" t="n">
        <f aca="false">K10*(1-Supuestos!$B$103)+K9</f>
        <v>325.020761913404</v>
      </c>
      <c r="M10" s="49" t="n">
        <f aca="false">L10*(1-Supuestos!$B$103)+L9</f>
        <v>398.421538535484</v>
      </c>
      <c r="N10" s="49" t="n">
        <f aca="false">M10*(1-Supuestos!$B$103)+M9</f>
        <v>485.242976846071</v>
      </c>
    </row>
    <row r="11" customFormat="false" ht="15" hidden="false" customHeight="false" outlineLevel="0" collapsed="false">
      <c r="A11" s="29" t="s">
        <v>253</v>
      </c>
      <c r="B11" s="48" t="n">
        <f aca="false">SUM(C11:N11)</f>
        <v>2202.51206215082</v>
      </c>
      <c r="C11" s="49" t="n">
        <f aca="false">C10</f>
        <v>0</v>
      </c>
      <c r="D11" s="49" t="n">
        <f aca="false">D10</f>
        <v>25</v>
      </c>
      <c r="E11" s="49" t="n">
        <f aca="false">E10</f>
        <v>48.3584337349398</v>
      </c>
      <c r="F11" s="49" t="n">
        <f aca="false">F10</f>
        <v>70.7099318325935</v>
      </c>
      <c r="G11" s="49" t="n">
        <f aca="false">G10</f>
        <v>92.7121377098784</v>
      </c>
      <c r="H11" s="49" t="n">
        <f aca="false">H10</f>
        <v>122.353704150171</v>
      </c>
      <c r="I11" s="49" t="n">
        <f aca="false">I10</f>
        <v>162.909739436736</v>
      </c>
      <c r="J11" s="49" t="n">
        <f aca="false">J10</f>
        <v>209.164187612135</v>
      </c>
      <c r="K11" s="49" t="n">
        <f aca="false">K10</f>
        <v>262.618650379406</v>
      </c>
      <c r="L11" s="49" t="n">
        <f aca="false">L10</f>
        <v>325.020761913404</v>
      </c>
      <c r="M11" s="49" t="n">
        <f aca="false">M10</f>
        <v>398.421538535484</v>
      </c>
      <c r="N11" s="49" t="n">
        <f aca="false">N10</f>
        <v>485.242976846071</v>
      </c>
    </row>
    <row r="12" customFormat="false" ht="15" hidden="false" customHeight="false" outlineLevel="0" collapsed="false">
      <c r="A12" s="29" t="s">
        <v>254</v>
      </c>
      <c r="B12" s="48" t="n">
        <f aca="false">SUM(C12:N12)</f>
        <v>671.634271159192</v>
      </c>
      <c r="C12" s="49" t="n">
        <f aca="false">0</f>
        <v>0</v>
      </c>
      <c r="D12" s="49" t="n">
        <f aca="false">0</f>
        <v>0</v>
      </c>
      <c r="E12" s="49" t="n">
        <f aca="false">0</f>
        <v>0</v>
      </c>
      <c r="F12" s="49" t="n">
        <f aca="false">C8*(1-Supuestos!$B$122)*Supuestos!$B$123</f>
        <v>35.4166666666667</v>
      </c>
      <c r="G12" s="49" t="n">
        <f aca="false">D8*(1-Supuestos!$B$122)*Supuestos!$B$123</f>
        <v>38.4036144578313</v>
      </c>
      <c r="H12" s="49" t="n">
        <f aca="false">E8*(1-Supuestos!$B$122)*Supuestos!$B$123</f>
        <v>41.9407894736842</v>
      </c>
      <c r="I12" s="49" t="n">
        <f aca="false">F8*(1-Supuestos!$B$122)*Supuestos!$B$123</f>
        <v>46.195652173913</v>
      </c>
      <c r="J12" s="49" t="n">
        <f aca="false">G8*(1-Supuestos!$B$122)*Supuestos!$B$123</f>
        <v>61.6935483870968</v>
      </c>
      <c r="K12" s="49" t="n">
        <f aca="false">H8*(1-Supuestos!$B$122)*Supuestos!$B$123</f>
        <v>83.4545454545455</v>
      </c>
      <c r="L12" s="49" t="n">
        <f aca="false">I8*(1-Supuestos!$B$122)*Supuestos!$B$123</f>
        <v>100.145454545455</v>
      </c>
      <c r="M12" s="49" t="n">
        <f aca="false">J8*(1-Supuestos!$B$122)*Supuestos!$B$123</f>
        <v>120.174545454545</v>
      </c>
      <c r="N12" s="49" t="n">
        <f aca="false">K8*(1-Supuestos!$B$122)*Supuestos!$B$123</f>
        <v>144.209454545455</v>
      </c>
    </row>
    <row r="13" customFormat="false" ht="15" hidden="false" customHeight="false" outlineLevel="0" collapsed="false">
      <c r="A13" s="50" t="s">
        <v>255</v>
      </c>
      <c r="B13" s="48" t="n">
        <f aca="false">SUM(C13:N13)</f>
        <v>8999.04595031583</v>
      </c>
      <c r="C13" s="48" t="n">
        <f aca="false">C8+C11+C12</f>
        <v>166.666666666667</v>
      </c>
      <c r="D13" s="48" t="n">
        <f aca="false">D8+D11+D12</f>
        <v>205.722891566265</v>
      </c>
      <c r="E13" s="48" t="n">
        <f aca="false">E8+E11+E12</f>
        <v>245.726854787571</v>
      </c>
      <c r="F13" s="48" t="n">
        <f aca="false">F8+F11+F12</f>
        <v>323.517902847086</v>
      </c>
      <c r="G13" s="48" t="n">
        <f aca="false">G8+G11+G12</f>
        <v>421.438332812871</v>
      </c>
      <c r="H13" s="48" t="n">
        <f aca="false">H8+H11+H12</f>
        <v>557.021766351128</v>
      </c>
      <c r="I13" s="48" t="n">
        <f aca="false">I8+I11+I12</f>
        <v>680.378118883376</v>
      </c>
      <c r="J13" s="48" t="n">
        <f aca="false">J8+J11+J12</f>
        <v>836.385008726504</v>
      </c>
      <c r="K13" s="48" t="n">
        <f aca="false">K8+K11+K12</f>
        <v>1024.70592310668</v>
      </c>
      <c r="L13" s="48" t="n">
        <f aca="false">L8+L11+L12</f>
        <v>1239.52548918613</v>
      </c>
      <c r="M13" s="48" t="n">
        <f aca="false">M8+M11+M12</f>
        <v>1495.82721126276</v>
      </c>
      <c r="N13" s="48" t="n">
        <f aca="false">N8+N11+N12</f>
        <v>1802.1297841188</v>
      </c>
    </row>
    <row r="14" customFormat="false" ht="15" hidden="false" customHeight="false" outlineLevel="0" collapsed="false">
      <c r="A14" s="29" t="s">
        <v>256</v>
      </c>
      <c r="B14" s="44" t="n">
        <f aca="false">AVERAGE(C14:N14)</f>
        <v>36.8029188656437</v>
      </c>
      <c r="C14" s="45" t="n">
        <f aca="false">IFERROR(((C8+C12)*Supuestos!$B$119+C11*Supuestos!$B$119*(1-Supuestos!$B$71))/C13,Supuestos!$B$119)</f>
        <v>38</v>
      </c>
      <c r="D14" s="45" t="n">
        <f aca="false">IFERROR(((D8+D12)*Supuestos!$B$119+D11*Supuestos!$B$119*(1-Supuestos!$B$71))/D13,Supuestos!$B$119)</f>
        <v>37.3073206442167</v>
      </c>
      <c r="E14" s="45" t="n">
        <f aca="false">IFERROR(((E8+E12)*Supuestos!$B$119+E11*Supuestos!$B$119*(1-Supuestos!$B$71))/E13,Supuestos!$B$119)</f>
        <v>36.8782541797174</v>
      </c>
      <c r="F14" s="45" t="n">
        <f aca="false">IFERROR(((F8+F12)*Supuestos!$B$119+F11*Supuestos!$B$119*(1-Supuestos!$B$71))/F13,Supuestos!$B$119)</f>
        <v>36.7541752468756</v>
      </c>
      <c r="G14" s="45" t="n">
        <f aca="false">IFERROR(((G8+G12)*Supuestos!$B$119+G11*Supuestos!$B$119*(1-Supuestos!$B$71))/G13,Supuestos!$B$119)</f>
        <v>36.746058097233</v>
      </c>
      <c r="H14" s="45" t="n">
        <f aca="false">IFERROR(((H8+H12)*Supuestos!$B$119+H11*Supuestos!$B$119*(1-Supuestos!$B$71))/H13,Supuestos!$B$119)</f>
        <v>36.7479553658656</v>
      </c>
      <c r="I14" s="45" t="n">
        <f aca="false">IFERROR(((I8+I12)*Supuestos!$B$119+I11*Supuestos!$B$119*(1-Supuestos!$B$71))/I13,Supuestos!$B$119)</f>
        <v>36.6351919777882</v>
      </c>
      <c r="J14" s="45" t="n">
        <f aca="false">IFERROR(((J8+J12)*Supuestos!$B$119+J11*Supuestos!$B$119*(1-Supuestos!$B$71))/J13,Supuestos!$B$119)</f>
        <v>36.5745370171035</v>
      </c>
      <c r="K14" s="45" t="n">
        <f aca="false">IFERROR(((K8+K12)*Supuestos!$B$119+K11*Supuestos!$B$119*(1-Supuestos!$B$71))/K13,Supuestos!$B$119)</f>
        <v>36.5391649707418</v>
      </c>
      <c r="L14" s="45" t="n">
        <f aca="false">IFERROR(((L8+L12)*Supuestos!$B$119+L11*Supuestos!$B$119*(1-Supuestos!$B$71))/L13,Supuestos!$B$119)</f>
        <v>36.5053810034009</v>
      </c>
      <c r="M14" s="45" t="n">
        <f aca="false">IFERROR(((M8+M12)*Supuestos!$B$119+M11*Supuestos!$B$119*(1-Supuestos!$B$71))/M13,Supuestos!$B$119)</f>
        <v>36.4817746645115</v>
      </c>
      <c r="N14" s="45" t="n">
        <f aca="false">IFERROR(((N8+N12)*Supuestos!$B$119+N11*Supuestos!$B$119*(1-Supuestos!$B$71))/N13,Supuestos!$B$119)</f>
        <v>36.4652132202703</v>
      </c>
    </row>
    <row r="15" customFormat="false" ht="15" hidden="false" customHeight="false" outlineLevel="0" collapsed="false">
      <c r="A15" s="50" t="s">
        <v>257</v>
      </c>
      <c r="B15" s="46" t="n">
        <f aca="false">SUM(C15:N15)</f>
        <v>329409.427357742</v>
      </c>
      <c r="C15" s="46" t="n">
        <f aca="false">C13*C14</f>
        <v>6333.33333333333</v>
      </c>
      <c r="D15" s="46" t="n">
        <f aca="false">D13*D14</f>
        <v>7674.96987951807</v>
      </c>
      <c r="E15" s="46" t="n">
        <f aca="false">E13*E14</f>
        <v>9061.97740963855</v>
      </c>
      <c r="F15" s="46" t="n">
        <f aca="false">F13*F14</f>
        <v>11890.6336967435</v>
      </c>
      <c r="G15" s="46" t="n">
        <f aca="false">G13*G14</f>
        <v>15486.1974619428</v>
      </c>
      <c r="H15" s="46" t="n">
        <f aca="false">H13*H14</f>
        <v>20469.4110076869</v>
      </c>
      <c r="I15" s="46" t="n">
        <f aca="false">I13*I14</f>
        <v>24925.7830027789</v>
      </c>
      <c r="J15" s="46" t="n">
        <f aca="false">J13*J14</f>
        <v>30590.394462218</v>
      </c>
      <c r="K15" s="46" t="n">
        <f aca="false">K13*K14</f>
        <v>37441.8987708912</v>
      </c>
      <c r="L15" s="46" t="n">
        <f aca="false">L13*L14</f>
        <v>45249.3502461666</v>
      </c>
      <c r="M15" s="46" t="n">
        <f aca="false">M13*M14</f>
        <v>54570.4312583325</v>
      </c>
      <c r="N15" s="46" t="n">
        <f aca="false">N13*N14</f>
        <v>65715.0468284917</v>
      </c>
    </row>
    <row r="16" customFormat="false" ht="15" hidden="false" customHeight="false" outlineLevel="0" collapsed="false">
      <c r="A16" s="50" t="s">
        <v>258</v>
      </c>
      <c r="B16" s="46" t="n">
        <f aca="false">SUM(C16:N16)</f>
        <v>272239.196163423</v>
      </c>
      <c r="C16" s="46" t="n">
        <f aca="false">C15/(1+Supuestos!$B$7)</f>
        <v>5234.15977961433</v>
      </c>
      <c r="D16" s="46" t="n">
        <f aca="false">D15/(1+Supuestos!$B$7)</f>
        <v>6342.9503136513</v>
      </c>
      <c r="E16" s="46" t="n">
        <f aca="false">E15/(1+Supuestos!$B$7)</f>
        <v>7489.2375286269</v>
      </c>
      <c r="F16" s="46" t="n">
        <f aca="false">F15/(1+Supuestos!$B$7)</f>
        <v>9826.96999730867</v>
      </c>
      <c r="G16" s="46" t="n">
        <f aca="false">G15/(1+Supuestos!$B$7)</f>
        <v>12798.5102991263</v>
      </c>
      <c r="H16" s="46" t="n">
        <f aca="false">H15/(1+Supuestos!$B$7)</f>
        <v>16916.8686013941</v>
      </c>
      <c r="I16" s="46" t="n">
        <f aca="false">I15/(1+Supuestos!$B$7)</f>
        <v>20599.8206634536</v>
      </c>
      <c r="J16" s="46" t="n">
        <f aca="false">J15/(1+Supuestos!$B$7)</f>
        <v>25281.3177373703</v>
      </c>
      <c r="K16" s="46" t="n">
        <f aca="false">K15/(1+Supuestos!$B$7)</f>
        <v>30943.717992472</v>
      </c>
      <c r="L16" s="46" t="n">
        <f aca="false">L15/(1+Supuestos!$B$7)</f>
        <v>37396.1572282368</v>
      </c>
      <c r="M16" s="46" t="n">
        <f aca="false">M15/(1+Supuestos!$B$7)</f>
        <v>45099.5299655641</v>
      </c>
      <c r="N16" s="46" t="n">
        <f aca="false">N15/(1+Supuestos!$B$7)</f>
        <v>54309.9560566047</v>
      </c>
    </row>
    <row r="17" customFormat="false" ht="15" hidden="false" customHeight="false" outlineLevel="0" collapsed="false">
      <c r="A17" s="43" t="s">
        <v>259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customFormat="false" ht="15" hidden="false" customHeight="false" outlineLevel="0" collapsed="false">
      <c r="A18" s="29" t="s">
        <v>260</v>
      </c>
      <c r="B18" s="46" t="n">
        <f aca="false">SUM(C18:N18)</f>
        <v>133713.200159907</v>
      </c>
      <c r="C18" s="47" t="n">
        <f aca="false">C13*'Unit Economics SKU'!$O$19*Supuestos!$B$45</f>
        <v>2476.43288888889</v>
      </c>
      <c r="D18" s="47" t="n">
        <f aca="false">D13*'Unit Economics SKU'!$O$19*Supuestos!$B$45</f>
        <v>3056.75360803213</v>
      </c>
      <c r="E18" s="47" t="n">
        <f aca="false">E13*'Unit Economics SKU'!$O$19*Supuestos!$B$45</f>
        <v>3651.15638927499</v>
      </c>
      <c r="F18" s="47" t="n">
        <f aca="false">F13*'Unit Economics SKU'!$O$19*Supuestos!$B$45</f>
        <v>4807.02224852931</v>
      </c>
      <c r="G18" s="47" t="n">
        <f aca="false">G13*'Unit Economics SKU'!$O$19*Supuestos!$B$45</f>
        <v>6261.98248809777</v>
      </c>
      <c r="H18" s="47" t="n">
        <f aca="false">H13*'Unit Economics SKU'!$O$19*Supuestos!$B$45</f>
        <v>8276.56213211349</v>
      </c>
      <c r="I18" s="47" t="n">
        <f aca="false">I13*'Unit Economics SKU'!$O$19*Supuestos!$B$45</f>
        <v>10109.4645028989</v>
      </c>
      <c r="J18" s="47" t="n">
        <f aca="false">J13*'Unit Economics SKU'!$O$19*Supuestos!$B$45</f>
        <v>12427.5080603036</v>
      </c>
      <c r="K18" s="47" t="n">
        <f aca="false">K13*'Unit Economics SKU'!$O$19*Supuestos!$B$45</f>
        <v>15225.6926965238</v>
      </c>
      <c r="L18" s="47" t="n">
        <f aca="false">L13*'Unit Economics SKU'!$O$19*Supuestos!$B$45</f>
        <v>18417.6101282197</v>
      </c>
      <c r="M18" s="47" t="n">
        <f aca="false">M13*'Unit Economics SKU'!$O$19*Supuestos!$B$45</f>
        <v>22225.8942123962</v>
      </c>
      <c r="N18" s="47" t="n">
        <f aca="false">N13*'Unit Economics SKU'!$O$19*Supuestos!$B$45</f>
        <v>26777.1208046281</v>
      </c>
    </row>
    <row r="19" customFormat="false" ht="15" hidden="false" customHeight="false" outlineLevel="0" collapsed="false">
      <c r="A19" s="29" t="s">
        <v>261</v>
      </c>
      <c r="B19" s="46" t="n">
        <f aca="false">SUM(C19:N19)</f>
        <v>8508.54060737606</v>
      </c>
      <c r="C19" s="47" t="n">
        <f aca="false">C13*(C14*Supuestos!$B$12+Supuestos!$B$13)</f>
        <v>162</v>
      </c>
      <c r="D19" s="47" t="n">
        <f aca="false">D13*(D14*Supuestos!$B$12+Supuestos!$B$13)</f>
        <v>197.25515060241</v>
      </c>
      <c r="E19" s="47" t="n">
        <f aca="false">E13*(E14*Supuestos!$B$12+Supuestos!$B$13)</f>
        <v>233.609284480025</v>
      </c>
      <c r="F19" s="47" t="n">
        <f aca="false">F13*(F14*Supuestos!$B$12+Supuestos!$B$13)</f>
        <v>306.801515949898</v>
      </c>
      <c r="G19" s="47" t="n">
        <f aca="false">G13*(G14*Supuestos!$B$12+Supuestos!$B$13)</f>
        <v>399.597334980131</v>
      </c>
      <c r="H19" s="47" t="n">
        <f aca="false">H13*(H14*Supuestos!$B$12+Supuestos!$B$13)</f>
        <v>528.174250733833</v>
      </c>
      <c r="I19" s="47" t="n">
        <f aca="false">I13*(I14*Supuestos!$B$12+Supuestos!$B$13)</f>
        <v>643.684406773643</v>
      </c>
      <c r="J19" s="47" t="n">
        <f aca="false">J13*(J14*Supuestos!$B$12+Supuestos!$B$13)</f>
        <v>790.313746963768</v>
      </c>
      <c r="K19" s="47" t="n">
        <f aca="false">K13*(K14*Supuestos!$B$12+Supuestos!$B$13)</f>
        <v>967.572557423602</v>
      </c>
      <c r="L19" s="47" t="n">
        <f aca="false">L13*(L14*Supuestos!$B$12+Supuestos!$B$13)</f>
        <v>1169.6190269737</v>
      </c>
      <c r="M19" s="47" t="n">
        <f aca="false">M13*(M14*Supuestos!$B$12+Supuestos!$B$13)</f>
        <v>1410.79499672401</v>
      </c>
      <c r="N19" s="47" t="n">
        <f aca="false">N13*(N14*Supuestos!$B$12+Supuestos!$B$13)</f>
        <v>1699.11833577104</v>
      </c>
    </row>
    <row r="20" customFormat="false" ht="15" hidden="false" customHeight="false" outlineLevel="0" collapsed="false">
      <c r="A20" s="29" t="s">
        <v>262</v>
      </c>
      <c r="B20" s="46" t="n">
        <f aca="false">SUM(C20:N20)</f>
        <v>6263.33598141982</v>
      </c>
      <c r="C20" s="47" t="n">
        <f aca="false">C13*'Unit Economics SKU'!$V$19</f>
        <v>116</v>
      </c>
      <c r="D20" s="47" t="n">
        <f aca="false">D13*'Unit Economics SKU'!$V$19</f>
        <v>143.18313253012</v>
      </c>
      <c r="E20" s="47" t="n">
        <f aca="false">E13*'Unit Economics SKU'!$V$19</f>
        <v>171.02589093215</v>
      </c>
      <c r="F20" s="47" t="n">
        <f aca="false">F13*'Unit Economics SKU'!$V$19</f>
        <v>225.168460381572</v>
      </c>
      <c r="G20" s="47" t="n">
        <f aca="false">G13*'Unit Economics SKU'!$V$19</f>
        <v>293.321079637758</v>
      </c>
      <c r="H20" s="47" t="n">
        <f aca="false">H13*'Unit Economics SKU'!$V$19</f>
        <v>387.687149380385</v>
      </c>
      <c r="I20" s="47" t="n">
        <f aca="false">I13*'Unit Economics SKU'!$V$19</f>
        <v>473.54317074283</v>
      </c>
      <c r="J20" s="47" t="n">
        <f aca="false">J13*'Unit Economics SKU'!$V$19</f>
        <v>582.123966073647</v>
      </c>
      <c r="K20" s="47" t="n">
        <f aca="false">K13*'Unit Economics SKU'!$V$19</f>
        <v>713.195322482248</v>
      </c>
      <c r="L20" s="47" t="n">
        <f aca="false">L13*'Unit Economics SKU'!$V$19</f>
        <v>862.709740473547</v>
      </c>
      <c r="M20" s="47" t="n">
        <f aca="false">M13*'Unit Economics SKU'!$V$19</f>
        <v>1041.09573903888</v>
      </c>
      <c r="N20" s="47" t="n">
        <f aca="false">N13*'Unit Economics SKU'!$V$19</f>
        <v>1254.28232974668</v>
      </c>
    </row>
    <row r="21" customFormat="false" ht="15" hidden="false" customHeight="false" outlineLevel="0" collapsed="false">
      <c r="A21" s="29" t="s">
        <v>263</v>
      </c>
      <c r="B21" s="46" t="n">
        <f aca="false">SUM(C21:N21)</f>
        <v>22497.6148757896</v>
      </c>
      <c r="C21" s="47" t="n">
        <f aca="false">C13*'Unit Economics SKU'!$W$19</f>
        <v>416.666666666667</v>
      </c>
      <c r="D21" s="47" t="n">
        <f aca="false">D13*'Unit Economics SKU'!$W$19</f>
        <v>514.307228915663</v>
      </c>
      <c r="E21" s="47" t="n">
        <f aca="false">E13*'Unit Economics SKU'!$W$19</f>
        <v>614.317136968928</v>
      </c>
      <c r="F21" s="47" t="n">
        <f aca="false">F13*'Unit Economics SKU'!$W$19</f>
        <v>808.794757117716</v>
      </c>
      <c r="G21" s="47" t="n">
        <f aca="false">G13*'Unit Economics SKU'!$W$19</f>
        <v>1053.59583203218</v>
      </c>
      <c r="H21" s="47" t="n">
        <f aca="false">H13*'Unit Economics SKU'!$W$19</f>
        <v>1392.55441587782</v>
      </c>
      <c r="I21" s="47" t="n">
        <f aca="false">I13*'Unit Economics SKU'!$W$19</f>
        <v>1700.94529720844</v>
      </c>
      <c r="J21" s="47" t="n">
        <f aca="false">J13*'Unit Economics SKU'!$W$19</f>
        <v>2090.96252181626</v>
      </c>
      <c r="K21" s="47" t="n">
        <f aca="false">K13*'Unit Economics SKU'!$W$19</f>
        <v>2561.7648077667</v>
      </c>
      <c r="L21" s="47" t="n">
        <f aca="false">L13*'Unit Economics SKU'!$W$19</f>
        <v>3098.81372296533</v>
      </c>
      <c r="M21" s="47" t="n">
        <f aca="false">M13*'Unit Economics SKU'!$W$19</f>
        <v>3739.56802815689</v>
      </c>
      <c r="N21" s="47" t="n">
        <f aca="false">N13*'Unit Economics SKU'!$W$19</f>
        <v>4505.32446029699</v>
      </c>
    </row>
    <row r="22" customFormat="false" ht="15" hidden="false" customHeight="false" outlineLevel="0" collapsed="false">
      <c r="A22" s="29" t="s">
        <v>264</v>
      </c>
      <c r="B22" s="46" t="n">
        <f aca="false">SUM(C22:N22)</f>
        <v>3149.66608261054</v>
      </c>
      <c r="C22" s="47" t="n">
        <f aca="false">C13*'Unit Economics SKU'!$X$19</f>
        <v>58.3333333333333</v>
      </c>
      <c r="D22" s="47" t="n">
        <f aca="false">D13*'Unit Economics SKU'!$X$19</f>
        <v>72.0030120481928</v>
      </c>
      <c r="E22" s="47" t="n">
        <f aca="false">E13*'Unit Economics SKU'!$X$19</f>
        <v>86.00439917565</v>
      </c>
      <c r="F22" s="47" t="n">
        <f aca="false">F13*'Unit Economics SKU'!$X$19</f>
        <v>113.23126599648</v>
      </c>
      <c r="G22" s="47" t="n">
        <f aca="false">G13*'Unit Economics SKU'!$X$19</f>
        <v>147.503416484505</v>
      </c>
      <c r="H22" s="47" t="n">
        <f aca="false">H13*'Unit Economics SKU'!$X$19</f>
        <v>194.957618222895</v>
      </c>
      <c r="I22" s="47" t="n">
        <f aca="false">I13*'Unit Economics SKU'!$X$19</f>
        <v>238.132341609182</v>
      </c>
      <c r="J22" s="47" t="n">
        <f aca="false">J13*'Unit Economics SKU'!$X$19</f>
        <v>292.734753054277</v>
      </c>
      <c r="K22" s="47" t="n">
        <f aca="false">K13*'Unit Economics SKU'!$X$19</f>
        <v>358.647073087337</v>
      </c>
      <c r="L22" s="47" t="n">
        <f aca="false">L13*'Unit Economics SKU'!$X$19</f>
        <v>433.833921215146</v>
      </c>
      <c r="M22" s="47" t="n">
        <f aca="false">M13*'Unit Economics SKU'!$X$19</f>
        <v>523.539523941965</v>
      </c>
      <c r="N22" s="47" t="n">
        <f aca="false">N13*'Unit Economics SKU'!$X$19</f>
        <v>630.745424441579</v>
      </c>
    </row>
    <row r="23" customFormat="false" ht="15" hidden="false" customHeight="false" outlineLevel="0" collapsed="false">
      <c r="A23" s="29" t="s">
        <v>265</v>
      </c>
      <c r="B23" s="46" t="n">
        <f aca="false">SUM(C23:N23)</f>
        <v>4078.9991702907</v>
      </c>
      <c r="C23" s="47" t="n">
        <f aca="false">-C13*'Unit Economics SKU'!$Y$19*Supuestos!$B$45</f>
        <v>75.5450298622589</v>
      </c>
      <c r="D23" s="47" t="n">
        <f aca="false">-D13*'Unit Economics SKU'!$Y$19*Supuestos!$B$45</f>
        <v>93.2480519203425</v>
      </c>
      <c r="E23" s="47" t="n">
        <f aca="false">-E13*'Unit Economics SKU'!$Y$19*Supuestos!$B$45</f>
        <v>111.380655497316</v>
      </c>
      <c r="F23" s="47" t="n">
        <f aca="false">-F13*'Unit Economics SKU'!$Y$19*Supuestos!$B$45</f>
        <v>146.641017789351</v>
      </c>
      <c r="G23" s="47" t="n">
        <f aca="false">-G13*'Unit Economics SKU'!$Y$19*Supuestos!$B$45</f>
        <v>191.025428624694</v>
      </c>
      <c r="H23" s="47" t="n">
        <f aca="false">-H13*'Unit Economics SKU'!$Y$19*Supuestos!$B$45</f>
        <v>252.481355837545</v>
      </c>
      <c r="I23" s="47" t="n">
        <f aca="false">-I13*'Unit Economics SKU'!$Y$19*Supuestos!$B$45</f>
        <v>308.395111852033</v>
      </c>
      <c r="J23" s="47" t="n">
        <f aca="false">-J13*'Unit Economics SKU'!$Y$19*Supuestos!$B$45</f>
        <v>379.108382763537</v>
      </c>
      <c r="K23" s="47" t="n">
        <f aca="false">-K13*'Unit Economics SKU'!$Y$19*Supuestos!$B$45</f>
        <v>464.468637366766</v>
      </c>
      <c r="L23" s="47" t="n">
        <f aca="false">-L13*'Unit Economics SKU'!$Y$19*Supuestos!$B$45</f>
        <v>561.839940573585</v>
      </c>
      <c r="M23" s="47" t="n">
        <f aca="false">-M13*'Unit Economics SKU'!$Y$19*Supuestos!$B$45</f>
        <v>678.013868061747</v>
      </c>
      <c r="N23" s="47" t="n">
        <f aca="false">-N13*'Unit Economics SKU'!$Y$19*Supuestos!$B$45</f>
        <v>816.851690141525</v>
      </c>
    </row>
    <row r="24" customFormat="false" ht="15" hidden="false" customHeight="false" outlineLevel="0" collapsed="false">
      <c r="A24" s="50" t="s">
        <v>266</v>
      </c>
      <c r="B24" s="46" t="n">
        <f aca="false">SUM(C24:N24)</f>
        <v>178211.356877394</v>
      </c>
      <c r="C24" s="46" t="n">
        <f aca="false">C18+C19+C20+C21+C22+C23</f>
        <v>3304.97791875115</v>
      </c>
      <c r="D24" s="46" t="n">
        <f aca="false">D18+D19+D20+D21+D22+D23</f>
        <v>4076.75018404886</v>
      </c>
      <c r="E24" s="46" t="n">
        <f aca="false">E18+E19+E20+E21+E22+E23</f>
        <v>4867.49375632906</v>
      </c>
      <c r="F24" s="46" t="n">
        <f aca="false">F18+F19+F20+F21+F22+F23</f>
        <v>6407.65926576433</v>
      </c>
      <c r="G24" s="46" t="n">
        <f aca="false">G18+G19+G20+G21+G22+G23</f>
        <v>8347.02557985704</v>
      </c>
      <c r="H24" s="46" t="n">
        <f aca="false">H18+H19+H20+H21+H22+H23</f>
        <v>11032.416922166</v>
      </c>
      <c r="I24" s="46" t="n">
        <f aca="false">I18+I19+I20+I21+I22+I23</f>
        <v>13474.164831085</v>
      </c>
      <c r="J24" s="46" t="n">
        <f aca="false">J18+J19+J20+J21+J22+J23</f>
        <v>16562.7514309751</v>
      </c>
      <c r="K24" s="46" t="n">
        <f aca="false">K18+K19+K20+K21+K22+K23</f>
        <v>20291.3410946504</v>
      </c>
      <c r="L24" s="46" t="n">
        <f aca="false">L18+L19+L20+L21+L22+L23</f>
        <v>24544.426480421</v>
      </c>
      <c r="M24" s="46" t="n">
        <f aca="false">M18+M19+M20+M21+M22+M23</f>
        <v>29618.9063683197</v>
      </c>
      <c r="N24" s="46" t="n">
        <f aca="false">N18+N19+N20+N21+N22+N23</f>
        <v>35683.443045026</v>
      </c>
    </row>
    <row r="25" customFormat="false" ht="15" hidden="false" customHeight="false" outlineLevel="0" collapsed="false">
      <c r="A25" s="50" t="s">
        <v>267</v>
      </c>
      <c r="B25" s="46" t="n">
        <f aca="false">SUM(C25:N25)</f>
        <v>138525.996003516</v>
      </c>
      <c r="C25" s="46" t="n">
        <f aca="false">C16-C18</f>
        <v>2757.72689072544</v>
      </c>
      <c r="D25" s="46" t="n">
        <f aca="false">D16-D18</f>
        <v>3286.19670561917</v>
      </c>
      <c r="E25" s="46" t="n">
        <f aca="false">E16-E18</f>
        <v>3838.08113935191</v>
      </c>
      <c r="F25" s="46" t="n">
        <f aca="false">F16-F18</f>
        <v>5019.94774877937</v>
      </c>
      <c r="G25" s="46" t="n">
        <f aca="false">G16-G18</f>
        <v>6536.52781102851</v>
      </c>
      <c r="H25" s="46" t="n">
        <f aca="false">H16-H18</f>
        <v>8640.30646928063</v>
      </c>
      <c r="I25" s="46" t="n">
        <f aca="false">I16-I18</f>
        <v>10490.3561605548</v>
      </c>
      <c r="J25" s="46" t="n">
        <f aca="false">J16-J18</f>
        <v>12853.8096770666</v>
      </c>
      <c r="K25" s="46" t="n">
        <f aca="false">K16-K18</f>
        <v>15718.0252959483</v>
      </c>
      <c r="L25" s="46" t="n">
        <f aca="false">L16-L18</f>
        <v>18978.5471000171</v>
      </c>
      <c r="M25" s="46" t="n">
        <f aca="false">M16-M18</f>
        <v>22873.6357531678</v>
      </c>
      <c r="N25" s="46" t="n">
        <f aca="false">N16-N18</f>
        <v>27532.8352519766</v>
      </c>
    </row>
    <row r="26" customFormat="false" ht="15" hidden="false" customHeight="false" outlineLevel="0" collapsed="false">
      <c r="A26" s="29" t="s">
        <v>268</v>
      </c>
      <c r="B26" s="51" t="n">
        <f aca="false">AVERAGE(C26:N26)</f>
        <v>0.511418117716053</v>
      </c>
      <c r="C26" s="52" t="n">
        <f aca="false">IFERROR(C25/C16,0)</f>
        <v>0.526870979649123</v>
      </c>
      <c r="D26" s="52" t="n">
        <f aca="false">IFERROR(D25/D16,0)</f>
        <v>0.518086464991948</v>
      </c>
      <c r="E26" s="52" t="n">
        <f aca="false">IFERROR(E25/E16,0)</f>
        <v>0.512479558123401</v>
      </c>
      <c r="F26" s="52" t="n">
        <f aca="false">IFERROR(F25/F16,0)</f>
        <v>0.510833731064019</v>
      </c>
      <c r="G26" s="52" t="n">
        <f aca="false">IFERROR(G25/G16,0)</f>
        <v>0.510725674961932</v>
      </c>
      <c r="H26" s="52" t="n">
        <f aca="false">IFERROR(H25/H16,0)</f>
        <v>0.510750935818499</v>
      </c>
      <c r="I26" s="52" t="n">
        <f aca="false">IFERROR(I25/I16,0)</f>
        <v>0.509245023630997</v>
      </c>
      <c r="J26" s="52" t="n">
        <f aca="false">IFERROR(J25/J16,0)</f>
        <v>0.508431158952859</v>
      </c>
      <c r="K26" s="52" t="n">
        <f aca="false">IFERROR(K25/K16,0)</f>
        <v>0.507955291596574</v>
      </c>
      <c r="L26" s="52" t="n">
        <f aca="false">IFERROR(L25/L16,0)</f>
        <v>0.507499927978881</v>
      </c>
      <c r="M26" s="52" t="n">
        <f aca="false">IFERROR(M25/M16,0)</f>
        <v>0.507181244918364</v>
      </c>
      <c r="N26" s="52" t="n">
        <f aca="false">IFERROR(N25/N16,0)</f>
        <v>0.506957420906038</v>
      </c>
    </row>
    <row r="27" customFormat="false" ht="15" hidden="false" customHeight="false" outlineLevel="0" collapsed="false">
      <c r="A27" s="43" t="s">
        <v>269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Format="false" ht="15" hidden="false" customHeight="false" outlineLevel="0" collapsed="false">
      <c r="A28" s="29" t="s">
        <v>270</v>
      </c>
      <c r="B28" s="46" t="n">
        <f aca="false">SUM(C28:N28)</f>
        <v>324</v>
      </c>
      <c r="C28" s="47" t="n">
        <f aca="false">Supuestos!$B$10</f>
        <v>27</v>
      </c>
      <c r="D28" s="47" t="n">
        <f aca="false">Supuestos!$B$10</f>
        <v>27</v>
      </c>
      <c r="E28" s="47" t="n">
        <f aca="false">Supuestos!$B$10</f>
        <v>27</v>
      </c>
      <c r="F28" s="47" t="n">
        <f aca="false">Supuestos!$B$10</f>
        <v>27</v>
      </c>
      <c r="G28" s="47" t="n">
        <f aca="false">Supuestos!$B$10</f>
        <v>27</v>
      </c>
      <c r="H28" s="47" t="n">
        <f aca="false">Supuestos!$B$10</f>
        <v>27</v>
      </c>
      <c r="I28" s="47" t="n">
        <f aca="false">Supuestos!$B$10</f>
        <v>27</v>
      </c>
      <c r="J28" s="47" t="n">
        <f aca="false">Supuestos!$B$10</f>
        <v>27</v>
      </c>
      <c r="K28" s="47" t="n">
        <f aca="false">Supuestos!$B$10</f>
        <v>27</v>
      </c>
      <c r="L28" s="47" t="n">
        <f aca="false">Supuestos!$B$10</f>
        <v>27</v>
      </c>
      <c r="M28" s="47" t="n">
        <f aca="false">Supuestos!$B$10</f>
        <v>27</v>
      </c>
      <c r="N28" s="47" t="n">
        <f aca="false">Supuestos!$B$10</f>
        <v>27</v>
      </c>
    </row>
    <row r="29" customFormat="false" ht="15" hidden="false" customHeight="false" outlineLevel="0" collapsed="false">
      <c r="A29" s="29" t="s">
        <v>271</v>
      </c>
      <c r="B29" s="46" t="n">
        <f aca="false">SUM(C29:N29)</f>
        <v>3000</v>
      </c>
      <c r="C29" s="47" t="n">
        <f aca="false">Supuestos!$B$79</f>
        <v>250</v>
      </c>
      <c r="D29" s="47" t="n">
        <f aca="false">Supuestos!$B$79</f>
        <v>250</v>
      </c>
      <c r="E29" s="47" t="n">
        <f aca="false">Supuestos!$B$79</f>
        <v>250</v>
      </c>
      <c r="F29" s="47" t="n">
        <f aca="false">Supuestos!$B$79</f>
        <v>250</v>
      </c>
      <c r="G29" s="47" t="n">
        <f aca="false">Supuestos!$B$79</f>
        <v>250</v>
      </c>
      <c r="H29" s="47" t="n">
        <f aca="false">Supuestos!$B$79</f>
        <v>250</v>
      </c>
      <c r="I29" s="47" t="n">
        <f aca="false">Supuestos!$B$79</f>
        <v>250</v>
      </c>
      <c r="J29" s="47" t="n">
        <f aca="false">Supuestos!$B$79</f>
        <v>250</v>
      </c>
      <c r="K29" s="47" t="n">
        <f aca="false">Supuestos!$B$79</f>
        <v>250</v>
      </c>
      <c r="L29" s="47" t="n">
        <f aca="false">Supuestos!$B$79</f>
        <v>250</v>
      </c>
      <c r="M29" s="47" t="n">
        <f aca="false">Supuestos!$B$79</f>
        <v>250</v>
      </c>
      <c r="N29" s="47" t="n">
        <f aca="false">Supuestos!$B$79</f>
        <v>250</v>
      </c>
    </row>
    <row r="30" customFormat="false" ht="15" hidden="false" customHeight="false" outlineLevel="0" collapsed="false">
      <c r="A30" s="29" t="s">
        <v>272</v>
      </c>
      <c r="B30" s="46" t="n">
        <f aca="false">SUM(C30:N30)</f>
        <v>9600</v>
      </c>
      <c r="C30" s="47" t="n">
        <f aca="false">Supuestos!$B$80</f>
        <v>800</v>
      </c>
      <c r="D30" s="47" t="n">
        <f aca="false">Supuestos!$B$80</f>
        <v>800</v>
      </c>
      <c r="E30" s="47" t="n">
        <f aca="false">Supuestos!$B$80</f>
        <v>800</v>
      </c>
      <c r="F30" s="47" t="n">
        <f aca="false">Supuestos!$B$80</f>
        <v>800</v>
      </c>
      <c r="G30" s="47" t="n">
        <f aca="false">Supuestos!$B$80</f>
        <v>800</v>
      </c>
      <c r="H30" s="47" t="n">
        <f aca="false">Supuestos!$B$80</f>
        <v>800</v>
      </c>
      <c r="I30" s="47" t="n">
        <f aca="false">Supuestos!$B$80</f>
        <v>800</v>
      </c>
      <c r="J30" s="47" t="n">
        <f aca="false">Supuestos!$B$80</f>
        <v>800</v>
      </c>
      <c r="K30" s="47" t="n">
        <f aca="false">Supuestos!$B$80</f>
        <v>800</v>
      </c>
      <c r="L30" s="47" t="n">
        <f aca="false">Supuestos!$B$80</f>
        <v>800</v>
      </c>
      <c r="M30" s="47" t="n">
        <f aca="false">Supuestos!$B$80</f>
        <v>800</v>
      </c>
      <c r="N30" s="47" t="n">
        <f aca="false">Supuestos!$B$80</f>
        <v>800</v>
      </c>
    </row>
    <row r="31" customFormat="false" ht="15" hidden="false" customHeight="false" outlineLevel="0" collapsed="false">
      <c r="A31" s="29" t="s">
        <v>273</v>
      </c>
      <c r="B31" s="46" t="n">
        <f aca="false">SUM(C31:N31)</f>
        <v>0</v>
      </c>
      <c r="C31" s="47" t="n">
        <f aca="false">0</f>
        <v>0</v>
      </c>
      <c r="D31" s="47" t="n">
        <f aca="false">0</f>
        <v>0</v>
      </c>
      <c r="E31" s="47" t="n">
        <f aca="false">0</f>
        <v>0</v>
      </c>
      <c r="F31" s="47" t="n">
        <f aca="false">0</f>
        <v>0</v>
      </c>
      <c r="G31" s="47" t="n">
        <f aca="false">0</f>
        <v>0</v>
      </c>
      <c r="H31" s="47" t="n">
        <f aca="false">0</f>
        <v>0</v>
      </c>
      <c r="I31" s="47" t="n">
        <f aca="false">0</f>
        <v>0</v>
      </c>
      <c r="J31" s="47" t="n">
        <f aca="false">0</f>
        <v>0</v>
      </c>
      <c r="K31" s="47" t="n">
        <f aca="false">0</f>
        <v>0</v>
      </c>
      <c r="L31" s="47" t="n">
        <f aca="false">0</f>
        <v>0</v>
      </c>
      <c r="M31" s="47" t="n">
        <f aca="false">0</f>
        <v>0</v>
      </c>
      <c r="N31" s="47" t="n">
        <f aca="false">0</f>
        <v>0</v>
      </c>
    </row>
    <row r="32" customFormat="false" ht="15" hidden="false" customHeight="false" outlineLevel="0" collapsed="false">
      <c r="A32" s="29" t="s">
        <v>274</v>
      </c>
      <c r="B32" s="46" t="n">
        <f aca="false">SUM(C32:N32)</f>
        <v>1800</v>
      </c>
      <c r="C32" s="47" t="n">
        <f aca="false">Supuestos!$B$106</f>
        <v>150</v>
      </c>
      <c r="D32" s="47" t="n">
        <f aca="false">Supuestos!$B$106</f>
        <v>150</v>
      </c>
      <c r="E32" s="47" t="n">
        <f aca="false">Supuestos!$B$106</f>
        <v>150</v>
      </c>
      <c r="F32" s="47" t="n">
        <f aca="false">Supuestos!$B$106</f>
        <v>150</v>
      </c>
      <c r="G32" s="47" t="n">
        <f aca="false">Supuestos!$B$106</f>
        <v>150</v>
      </c>
      <c r="H32" s="47" t="n">
        <f aca="false">Supuestos!$B$106</f>
        <v>150</v>
      </c>
      <c r="I32" s="47" t="n">
        <f aca="false">Supuestos!$B$106</f>
        <v>150</v>
      </c>
      <c r="J32" s="47" t="n">
        <f aca="false">Supuestos!$B$106</f>
        <v>150</v>
      </c>
      <c r="K32" s="47" t="n">
        <f aca="false">Supuestos!$B$106</f>
        <v>150</v>
      </c>
      <c r="L32" s="47" t="n">
        <f aca="false">Supuestos!$B$106</f>
        <v>150</v>
      </c>
      <c r="M32" s="47" t="n">
        <f aca="false">Supuestos!$B$106</f>
        <v>150</v>
      </c>
      <c r="N32" s="47" t="n">
        <f aca="false">Supuestos!$B$106</f>
        <v>150</v>
      </c>
    </row>
    <row r="33" customFormat="false" ht="15" hidden="false" customHeight="false" outlineLevel="0" collapsed="false">
      <c r="A33" s="29" t="s">
        <v>275</v>
      </c>
      <c r="B33" s="46" t="n">
        <f aca="false">SUM(C33:N33)</f>
        <v>1440</v>
      </c>
      <c r="C33" s="47" t="n">
        <f aca="false">Supuestos!$B$107</f>
        <v>120</v>
      </c>
      <c r="D33" s="47" t="n">
        <f aca="false">Supuestos!$B$107</f>
        <v>120</v>
      </c>
      <c r="E33" s="47" t="n">
        <f aca="false">Supuestos!$B$107</f>
        <v>120</v>
      </c>
      <c r="F33" s="47" t="n">
        <f aca="false">Supuestos!$B$107</f>
        <v>120</v>
      </c>
      <c r="G33" s="47" t="n">
        <f aca="false">Supuestos!$B$107</f>
        <v>120</v>
      </c>
      <c r="H33" s="47" t="n">
        <f aca="false">Supuestos!$B$107</f>
        <v>120</v>
      </c>
      <c r="I33" s="47" t="n">
        <f aca="false">Supuestos!$B$107</f>
        <v>120</v>
      </c>
      <c r="J33" s="47" t="n">
        <f aca="false">Supuestos!$B$107</f>
        <v>120</v>
      </c>
      <c r="K33" s="47" t="n">
        <f aca="false">Supuestos!$B$107</f>
        <v>120</v>
      </c>
      <c r="L33" s="47" t="n">
        <f aca="false">Supuestos!$B$107</f>
        <v>120</v>
      </c>
      <c r="M33" s="47" t="n">
        <f aca="false">Supuestos!$B$107</f>
        <v>120</v>
      </c>
      <c r="N33" s="47" t="n">
        <f aca="false">Supuestos!$B$107</f>
        <v>120</v>
      </c>
    </row>
    <row r="34" customFormat="false" ht="15" hidden="false" customHeight="false" outlineLevel="0" collapsed="false">
      <c r="A34" s="29" t="s">
        <v>276</v>
      </c>
      <c r="B34" s="46" t="n">
        <f aca="false">SUM(C34:N34)</f>
        <v>960</v>
      </c>
      <c r="C34" s="47" t="n">
        <f aca="false">Supuestos!$B$108</f>
        <v>80</v>
      </c>
      <c r="D34" s="47" t="n">
        <f aca="false">Supuestos!$B$108</f>
        <v>80</v>
      </c>
      <c r="E34" s="47" t="n">
        <f aca="false">Supuestos!$B$108</f>
        <v>80</v>
      </c>
      <c r="F34" s="47" t="n">
        <f aca="false">Supuestos!$B$108</f>
        <v>80</v>
      </c>
      <c r="G34" s="47" t="n">
        <f aca="false">Supuestos!$B$108</f>
        <v>80</v>
      </c>
      <c r="H34" s="47" t="n">
        <f aca="false">Supuestos!$B$108</f>
        <v>80</v>
      </c>
      <c r="I34" s="47" t="n">
        <f aca="false">Supuestos!$B$108</f>
        <v>80</v>
      </c>
      <c r="J34" s="47" t="n">
        <f aca="false">Supuestos!$B$108</f>
        <v>80</v>
      </c>
      <c r="K34" s="47" t="n">
        <f aca="false">Supuestos!$B$108</f>
        <v>80</v>
      </c>
      <c r="L34" s="47" t="n">
        <f aca="false">Supuestos!$B$108</f>
        <v>80</v>
      </c>
      <c r="M34" s="47" t="n">
        <f aca="false">Supuestos!$B$108</f>
        <v>80</v>
      </c>
      <c r="N34" s="47" t="n">
        <f aca="false">Supuestos!$B$108</f>
        <v>80</v>
      </c>
    </row>
    <row r="35" customFormat="false" ht="15" hidden="false" customHeight="false" outlineLevel="0" collapsed="false">
      <c r="A35" s="50" t="s">
        <v>277</v>
      </c>
      <c r="B35" s="46" t="n">
        <f aca="false">SUM(C35:N35)</f>
        <v>17124</v>
      </c>
      <c r="C35" s="46" t="n">
        <f aca="false">SUM(C28:C34)</f>
        <v>1427</v>
      </c>
      <c r="D35" s="46" t="n">
        <f aca="false">SUM(D28:D34)</f>
        <v>1427</v>
      </c>
      <c r="E35" s="46" t="n">
        <f aca="false">SUM(E28:E34)</f>
        <v>1427</v>
      </c>
      <c r="F35" s="46" t="n">
        <f aca="false">SUM(F28:F34)</f>
        <v>1427</v>
      </c>
      <c r="G35" s="46" t="n">
        <f aca="false">SUM(G28:G34)</f>
        <v>1427</v>
      </c>
      <c r="H35" s="46" t="n">
        <f aca="false">SUM(H28:H34)</f>
        <v>1427</v>
      </c>
      <c r="I35" s="46" t="n">
        <f aca="false">SUM(I28:I34)</f>
        <v>1427</v>
      </c>
      <c r="J35" s="46" t="n">
        <f aca="false">SUM(J28:J34)</f>
        <v>1427</v>
      </c>
      <c r="K35" s="46" t="n">
        <f aca="false">SUM(K28:K34)</f>
        <v>1427</v>
      </c>
      <c r="L35" s="46" t="n">
        <f aca="false">SUM(L28:L34)</f>
        <v>1427</v>
      </c>
      <c r="M35" s="46" t="n">
        <f aca="false">SUM(M28:M34)</f>
        <v>1427</v>
      </c>
      <c r="N35" s="46" t="n">
        <f aca="false">SUM(N28:N34)</f>
        <v>1427</v>
      </c>
    </row>
    <row r="36" customFormat="false" ht="15" hidden="false" customHeight="false" outlineLevel="0" collapsed="false">
      <c r="A36" s="43" t="s">
        <v>278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Format="false" ht="15" hidden="false" customHeight="false" outlineLevel="0" collapsed="false">
      <c r="A37" s="50" t="s">
        <v>279</v>
      </c>
      <c r="B37" s="46" t="n">
        <f aca="false">SUM(C37:N37)</f>
        <v>22631.1340060295</v>
      </c>
      <c r="C37" s="46" t="n">
        <f aca="false">C16-C24-C7</f>
        <v>-1070.81813913682</v>
      </c>
      <c r="D37" s="46" t="n">
        <f aca="false">D16-D24-D7</f>
        <v>-733.799870397556</v>
      </c>
      <c r="E37" s="46" t="n">
        <f aca="false">E16-E24-E7</f>
        <v>-378.25622770216</v>
      </c>
      <c r="F37" s="46" t="n">
        <f aca="false">F16-F24-F7</f>
        <v>419.310731544348</v>
      </c>
      <c r="G37" s="46" t="n">
        <f aca="false">G16-G24-G7</f>
        <v>851.484719269241</v>
      </c>
      <c r="H37" s="46" t="n">
        <f aca="false">H16-H24-H7</f>
        <v>1564.45167922815</v>
      </c>
      <c r="I37" s="46" t="n">
        <f aca="false">I16-I24-I7</f>
        <v>1941.65583236862</v>
      </c>
      <c r="J37" s="46" t="n">
        <f aca="false">J16-J24-J7</f>
        <v>2497.76630639515</v>
      </c>
      <c r="K37" s="46" t="n">
        <f aca="false">K16-K24-K7</f>
        <v>3187.41689782163</v>
      </c>
      <c r="L37" s="46" t="n">
        <f aca="false">L16-L24-L7</f>
        <v>3893.77874781579</v>
      </c>
      <c r="M37" s="46" t="n">
        <f aca="false">M16-M24-M7</f>
        <v>4731.08119724433</v>
      </c>
      <c r="N37" s="46" t="n">
        <f aca="false">N16-N24-N7</f>
        <v>5727.06213157875</v>
      </c>
    </row>
    <row r="38" customFormat="false" ht="15" hidden="false" customHeight="false" outlineLevel="0" collapsed="false">
      <c r="A38" s="29" t="s">
        <v>280</v>
      </c>
      <c r="B38" s="51" t="n">
        <f aca="false">AVERAGE(C38:N38)</f>
        <v>0.0367866808118999</v>
      </c>
      <c r="C38" s="52" t="n">
        <f aca="false">IFERROR(C37/C16,0)</f>
        <v>-0.204582623424561</v>
      </c>
      <c r="D38" s="52" t="n">
        <f aca="false">IFERROR(D37/D16,0)</f>
        <v>-0.115687469412818</v>
      </c>
      <c r="E38" s="52" t="n">
        <f aca="false">IFERROR(E37/E16,0)</f>
        <v>-0.050506640530002</v>
      </c>
      <c r="F38" s="52" t="n">
        <f aca="false">IFERROR(F37/F16,0)</f>
        <v>0.0426693814735554</v>
      </c>
      <c r="G38" s="52" t="n">
        <f aca="false">IFERROR(G37/G16,0)</f>
        <v>0.0665299866444121</v>
      </c>
      <c r="H38" s="52" t="n">
        <f aca="false">IFERROR(H37/H16,0)</f>
        <v>0.0924787982983581</v>
      </c>
      <c r="I38" s="52" t="n">
        <f aca="false">IFERROR(I37/I16,0)</f>
        <v>0.0942559580537191</v>
      </c>
      <c r="J38" s="52" t="n">
        <f aca="false">IFERROR(J37/J16,0)</f>
        <v>0.0987988969697971</v>
      </c>
      <c r="K38" s="52" t="n">
        <f aca="false">IFERROR(K37/K16,0)</f>
        <v>0.103006913991301</v>
      </c>
      <c r="L38" s="52" t="n">
        <f aca="false">IFERROR(L37/L16,0)</f>
        <v>0.104122429586848</v>
      </c>
      <c r="M38" s="52" t="n">
        <f aca="false">IFERROR(M37/M16,0)</f>
        <v>0.104903115417317</v>
      </c>
      <c r="N38" s="52" t="n">
        <f aca="false">IFERROR(N37/N16,0)</f>
        <v>0.105451422674872</v>
      </c>
    </row>
    <row r="39" customFormat="false" ht="15" hidden="false" customHeight="false" outlineLevel="0" collapsed="false">
      <c r="A39" s="50" t="s">
        <v>281</v>
      </c>
      <c r="B39" s="46" t="n">
        <f aca="false">SUM(C39:N39)</f>
        <v>5507.13400602947</v>
      </c>
      <c r="C39" s="46" t="n">
        <f aca="false">C37-C35</f>
        <v>-2497.81813913682</v>
      </c>
      <c r="D39" s="46" t="n">
        <f aca="false">D37-D35</f>
        <v>-2160.79987039756</v>
      </c>
      <c r="E39" s="46" t="n">
        <f aca="false">E37-E35</f>
        <v>-1805.25622770216</v>
      </c>
      <c r="F39" s="46" t="n">
        <f aca="false">F37-F35</f>
        <v>-1007.68926845565</v>
      </c>
      <c r="G39" s="46" t="n">
        <f aca="false">G37-G35</f>
        <v>-575.515280730759</v>
      </c>
      <c r="H39" s="46" t="n">
        <f aca="false">H37-H35</f>
        <v>137.451679228154</v>
      </c>
      <c r="I39" s="46" t="n">
        <f aca="false">I37-I35</f>
        <v>514.655832368622</v>
      </c>
      <c r="J39" s="46" t="n">
        <f aca="false">J37-J35</f>
        <v>1070.76630639515</v>
      </c>
      <c r="K39" s="46" t="n">
        <f aca="false">K37-K35</f>
        <v>1760.41689782162</v>
      </c>
      <c r="L39" s="46" t="n">
        <f aca="false">L37-L35</f>
        <v>2466.77874781579</v>
      </c>
      <c r="M39" s="46" t="n">
        <f aca="false">M37-M35</f>
        <v>3304.08119724433</v>
      </c>
      <c r="N39" s="46" t="n">
        <f aca="false">N37-N35</f>
        <v>4300.06213157875</v>
      </c>
    </row>
    <row r="40" customFormat="false" ht="15" hidden="false" customHeight="false" outlineLevel="0" collapsed="false">
      <c r="A40" s="29" t="s">
        <v>282</v>
      </c>
      <c r="B40" s="51" t="n">
        <f aca="false">AVERAGE(C40:N40)</f>
        <v>-0.071306529109915</v>
      </c>
      <c r="C40" s="52" t="n">
        <f aca="false">IFERROR(C39/C16,0)</f>
        <v>-0.477214728687719</v>
      </c>
      <c r="D40" s="52" t="n">
        <f aca="false">IFERROR(D39/D16,0)</f>
        <v>-0.34066164222461</v>
      </c>
      <c r="E40" s="52" t="n">
        <f aca="false">IFERROR(E39/E16,0)</f>
        <v>-0.241046731499934</v>
      </c>
      <c r="F40" s="52" t="n">
        <f aca="false">IFERROR(F39/F16,0)</f>
        <v>-0.102543232423792</v>
      </c>
      <c r="G40" s="52" t="n">
        <f aca="false">IFERROR(G39/G16,0)</f>
        <v>-0.044967364738539</v>
      </c>
      <c r="H40" s="52" t="n">
        <f aca="false">IFERROR(H39/H16,0)</f>
        <v>0.00812512542757626</v>
      </c>
      <c r="I40" s="52" t="n">
        <f aca="false">IFERROR(I39/I16,0)</f>
        <v>0.0249835103313146</v>
      </c>
      <c r="J40" s="52" t="n">
        <f aca="false">IFERROR(J39/J16,0)</f>
        <v>0.0423540543858742</v>
      </c>
      <c r="K40" s="52" t="n">
        <f aca="false">IFERROR(K39/K16,0)</f>
        <v>0.0568909301154405</v>
      </c>
      <c r="L40" s="52" t="n">
        <f aca="false">IFERROR(L39/L16,0)</f>
        <v>0.0659634286154191</v>
      </c>
      <c r="M40" s="52" t="n">
        <f aca="false">IFERROR(M39/M16,0)</f>
        <v>0.0732619874257487</v>
      </c>
      <c r="N40" s="52" t="n">
        <f aca="false">IFERROR(N39/N16,0)</f>
        <v>0.0791763139542407</v>
      </c>
    </row>
    <row r="41" customFormat="false" ht="15" hidden="false" customHeight="false" outlineLevel="0" collapsed="false">
      <c r="A41" s="50" t="s">
        <v>283</v>
      </c>
      <c r="B41" s="46" t="n">
        <f aca="false">N41</f>
        <v>5507.13400602947</v>
      </c>
      <c r="C41" s="46" t="n">
        <f aca="false">C39</f>
        <v>-2497.81813913682</v>
      </c>
      <c r="D41" s="46" t="n">
        <f aca="false">C41+D39</f>
        <v>-4658.61800953438</v>
      </c>
      <c r="E41" s="46" t="n">
        <f aca="false">D41+E39</f>
        <v>-6463.87423723654</v>
      </c>
      <c r="F41" s="46" t="n">
        <f aca="false">E41+F39</f>
        <v>-7471.56350569219</v>
      </c>
      <c r="G41" s="46" t="n">
        <f aca="false">F41+G39</f>
        <v>-8047.07878642295</v>
      </c>
      <c r="H41" s="46" t="n">
        <f aca="false">G41+H39</f>
        <v>-7909.6271071948</v>
      </c>
      <c r="I41" s="46" t="n">
        <f aca="false">H41+I39</f>
        <v>-7394.97127482617</v>
      </c>
      <c r="J41" s="46" t="n">
        <f aca="false">I41+J39</f>
        <v>-6324.20496843103</v>
      </c>
      <c r="K41" s="46" t="n">
        <f aca="false">J41+K39</f>
        <v>-4563.7880706094</v>
      </c>
      <c r="L41" s="46" t="n">
        <f aca="false">K41+L39</f>
        <v>-2097.00932279361</v>
      </c>
      <c r="M41" s="46" t="n">
        <f aca="false">L41+M39</f>
        <v>1207.07187445072</v>
      </c>
      <c r="N41" s="46" t="n">
        <f aca="false">M41+N39</f>
        <v>5507.13400602947</v>
      </c>
    </row>
    <row r="42" customFormat="false" ht="15" hidden="false" customHeight="false" outlineLevel="0" collapsed="false">
      <c r="A42" s="43" t="s">
        <v>284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</row>
    <row r="43" customFormat="false" ht="15" hidden="false" customHeight="false" outlineLevel="0" collapsed="false">
      <c r="A43" s="29" t="s">
        <v>285</v>
      </c>
      <c r="B43" s="53" t="n">
        <f aca="false">AVERAGE(C43:N43)</f>
        <v>3.48879025179891</v>
      </c>
      <c r="C43" s="54" t="n">
        <f aca="false">IFERROR(C16/C7,0)</f>
        <v>1.74471992653811</v>
      </c>
      <c r="D43" s="54" t="n">
        <f aca="false">IFERROR(D16/D7,0)</f>
        <v>2.1143167712171</v>
      </c>
      <c r="E43" s="54" t="n">
        <f aca="false">IFERROR(E16/E7,0)</f>
        <v>2.4964125095423</v>
      </c>
      <c r="F43" s="54" t="n">
        <f aca="false">IFERROR(F16/F7,0)</f>
        <v>3.27565666576956</v>
      </c>
      <c r="G43" s="54" t="n">
        <f aca="false">IFERROR(G16/G7,0)</f>
        <v>3.5551417497573</v>
      </c>
      <c r="H43" s="54" t="n">
        <f aca="false">IFERROR(H16/H7,0)</f>
        <v>3.91594180587827</v>
      </c>
      <c r="I43" s="54" t="n">
        <f aca="false">IFERROR(I16/I7,0)</f>
        <v>3.97373083785757</v>
      </c>
      <c r="J43" s="54" t="n">
        <f aca="false">IFERROR(J16/J7,0)</f>
        <v>4.06399783586842</v>
      </c>
      <c r="K43" s="54" t="n">
        <f aca="false">IFERROR(K16/K7,0)</f>
        <v>4.14519541865891</v>
      </c>
      <c r="L43" s="54" t="n">
        <f aca="false">IFERROR(L16/L7,0)</f>
        <v>4.17463246378601</v>
      </c>
      <c r="M43" s="54" t="n">
        <f aca="false">IFERROR(M16/M7,0)</f>
        <v>4.19548370408438</v>
      </c>
      <c r="N43" s="54" t="n">
        <f aca="false">IFERROR(N16/N7,0)</f>
        <v>4.21025333262905</v>
      </c>
    </row>
  </sheetData>
  <mergeCells count="6">
    <mergeCell ref="A1:N1"/>
    <mergeCell ref="A5:N5"/>
    <mergeCell ref="A17:N17"/>
    <mergeCell ref="A27:N27"/>
    <mergeCell ref="A36:N36"/>
    <mergeCell ref="A42:N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15" min="3" style="0" width="10.5"/>
  </cols>
  <sheetData>
    <row r="1" customFormat="false" ht="17.35" hidden="false" customHeight="false" outlineLevel="0" collapsed="false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287</v>
      </c>
    </row>
    <row r="4" customFormat="false" ht="25.5" hidden="false" customHeight="true" outlineLevel="0" collapsed="false">
      <c r="A4" s="28" t="s">
        <v>233</v>
      </c>
      <c r="B4" s="28" t="s">
        <v>288</v>
      </c>
      <c r="C4" s="28" t="s">
        <v>289</v>
      </c>
      <c r="D4" s="28" t="s">
        <v>235</v>
      </c>
      <c r="E4" s="28" t="s">
        <v>236</v>
      </c>
      <c r="F4" s="28" t="s">
        <v>237</v>
      </c>
      <c r="G4" s="28" t="s">
        <v>238</v>
      </c>
      <c r="H4" s="28" t="s">
        <v>239</v>
      </c>
      <c r="I4" s="28" t="s">
        <v>240</v>
      </c>
      <c r="J4" s="28" t="s">
        <v>241</v>
      </c>
      <c r="K4" s="28" t="s">
        <v>242</v>
      </c>
      <c r="L4" s="28" t="s">
        <v>243</v>
      </c>
      <c r="M4" s="28" t="s">
        <v>244</v>
      </c>
      <c r="N4" s="28" t="s">
        <v>245</v>
      </c>
      <c r="O4" s="28" t="s">
        <v>246</v>
      </c>
    </row>
    <row r="5" customFormat="false" ht="15" hidden="false" customHeight="false" outlineLevel="0" collapsed="false">
      <c r="A5" s="43" t="s">
        <v>290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customFormat="false" ht="15" hidden="false" customHeight="false" outlineLevel="0" collapsed="false">
      <c r="A6" s="29" t="s">
        <v>291</v>
      </c>
      <c r="B6" s="46" t="n">
        <f aca="false">SUM(D6:O6)</f>
        <v>0</v>
      </c>
      <c r="C6" s="47" t="n">
        <f aca="false">Supuestos!$B$83+Supuestos!$B$84*9</f>
        <v>13000</v>
      </c>
      <c r="D6" s="47" t="n">
        <f aca="false">0</f>
        <v>0</v>
      </c>
      <c r="E6" s="47" t="n">
        <f aca="false">0</f>
        <v>0</v>
      </c>
      <c r="F6" s="47" t="n">
        <f aca="false">0</f>
        <v>0</v>
      </c>
      <c r="G6" s="47" t="n">
        <f aca="false">0</f>
        <v>0</v>
      </c>
      <c r="H6" s="47" t="n">
        <f aca="false">0</f>
        <v>0</v>
      </c>
      <c r="I6" s="47" t="n">
        <f aca="false">0</f>
        <v>0</v>
      </c>
      <c r="J6" s="47" t="n">
        <f aca="false">0</f>
        <v>0</v>
      </c>
      <c r="K6" s="47" t="n">
        <f aca="false">0</f>
        <v>0</v>
      </c>
      <c r="L6" s="47" t="n">
        <f aca="false">0</f>
        <v>0</v>
      </c>
      <c r="M6" s="47" t="n">
        <f aca="false">0</f>
        <v>0</v>
      </c>
      <c r="N6" s="47" t="n">
        <f aca="false">0</f>
        <v>0</v>
      </c>
      <c r="O6" s="47" t="n">
        <f aca="false">0</f>
        <v>0</v>
      </c>
    </row>
    <row r="7" customFormat="false" ht="15" hidden="false" customHeight="false" outlineLevel="0" collapsed="false">
      <c r="A7" s="29" t="s">
        <v>292</v>
      </c>
      <c r="B7" s="46" t="n">
        <f aca="false">SUM(D7:O7)</f>
        <v>0</v>
      </c>
      <c r="C7" s="47" t="n">
        <f aca="false">Supuestos!$B$85</f>
        <v>466</v>
      </c>
      <c r="D7" s="47" t="n">
        <f aca="false">0</f>
        <v>0</v>
      </c>
      <c r="E7" s="47" t="n">
        <f aca="false">0</f>
        <v>0</v>
      </c>
      <c r="F7" s="47" t="n">
        <f aca="false">0</f>
        <v>0</v>
      </c>
      <c r="G7" s="47" t="n">
        <f aca="false">0</f>
        <v>0</v>
      </c>
      <c r="H7" s="47" t="n">
        <f aca="false">0</f>
        <v>0</v>
      </c>
      <c r="I7" s="47" t="n">
        <f aca="false">0</f>
        <v>0</v>
      </c>
      <c r="J7" s="47" t="n">
        <f aca="false">0</f>
        <v>0</v>
      </c>
      <c r="K7" s="47" t="n">
        <f aca="false">0</f>
        <v>0</v>
      </c>
      <c r="L7" s="47" t="n">
        <f aca="false">0</f>
        <v>0</v>
      </c>
      <c r="M7" s="47" t="n">
        <f aca="false">0</f>
        <v>0</v>
      </c>
      <c r="N7" s="47" t="n">
        <f aca="false">0</f>
        <v>0</v>
      </c>
      <c r="O7" s="47" t="n">
        <f aca="false">0</f>
        <v>0</v>
      </c>
    </row>
    <row r="8" customFormat="false" ht="15" hidden="false" customHeight="false" outlineLevel="0" collapsed="false">
      <c r="A8" s="29" t="s">
        <v>293</v>
      </c>
      <c r="B8" s="46" t="n">
        <f aca="false">SUM(D8:O8)</f>
        <v>0</v>
      </c>
      <c r="C8" s="47" t="n">
        <f aca="false">Supuestos!$B$86</f>
        <v>850</v>
      </c>
      <c r="D8" s="47" t="n">
        <f aca="false">0</f>
        <v>0</v>
      </c>
      <c r="E8" s="47" t="n">
        <f aca="false">0</f>
        <v>0</v>
      </c>
      <c r="F8" s="47" t="n">
        <f aca="false">0</f>
        <v>0</v>
      </c>
      <c r="G8" s="47" t="n">
        <f aca="false">0</f>
        <v>0</v>
      </c>
      <c r="H8" s="47" t="n">
        <f aca="false">0</f>
        <v>0</v>
      </c>
      <c r="I8" s="47" t="n">
        <f aca="false">0</f>
        <v>0</v>
      </c>
      <c r="J8" s="47" t="n">
        <f aca="false">0</f>
        <v>0</v>
      </c>
      <c r="K8" s="47" t="n">
        <f aca="false">0</f>
        <v>0</v>
      </c>
      <c r="L8" s="47" t="n">
        <f aca="false">0</f>
        <v>0</v>
      </c>
      <c r="M8" s="47" t="n">
        <f aca="false">0</f>
        <v>0</v>
      </c>
      <c r="N8" s="47" t="n">
        <f aca="false">0</f>
        <v>0</v>
      </c>
      <c r="O8" s="47" t="n">
        <f aca="false">0</f>
        <v>0</v>
      </c>
    </row>
    <row r="9" customFormat="false" ht="15" hidden="false" customHeight="false" outlineLevel="0" collapsed="false">
      <c r="A9" s="29" t="s">
        <v>294</v>
      </c>
      <c r="B9" s="46" t="n">
        <f aca="false">SUM(D9:O9)</f>
        <v>0</v>
      </c>
      <c r="C9" s="47" t="n">
        <f aca="false">Supuestos!$B$87</f>
        <v>2000</v>
      </c>
      <c r="D9" s="47" t="n">
        <f aca="false">0</f>
        <v>0</v>
      </c>
      <c r="E9" s="47" t="n">
        <f aca="false">0</f>
        <v>0</v>
      </c>
      <c r="F9" s="47" t="n">
        <f aca="false">0</f>
        <v>0</v>
      </c>
      <c r="G9" s="47" t="n">
        <f aca="false">0</f>
        <v>0</v>
      </c>
      <c r="H9" s="47" t="n">
        <f aca="false">0</f>
        <v>0</v>
      </c>
      <c r="I9" s="47" t="n">
        <f aca="false">0</f>
        <v>0</v>
      </c>
      <c r="J9" s="47" t="n">
        <f aca="false">0</f>
        <v>0</v>
      </c>
      <c r="K9" s="47" t="n">
        <f aca="false">0</f>
        <v>0</v>
      </c>
      <c r="L9" s="47" t="n">
        <f aca="false">0</f>
        <v>0</v>
      </c>
      <c r="M9" s="47" t="n">
        <f aca="false">0</f>
        <v>0</v>
      </c>
      <c r="N9" s="47" t="n">
        <f aca="false">0</f>
        <v>0</v>
      </c>
      <c r="O9" s="47" t="n">
        <f aca="false">0</f>
        <v>0</v>
      </c>
    </row>
    <row r="10" customFormat="false" ht="15" hidden="false" customHeight="false" outlineLevel="0" collapsed="false">
      <c r="A10" s="29" t="s">
        <v>295</v>
      </c>
      <c r="B10" s="46" t="n">
        <f aca="false">SUM(D10:O10)</f>
        <v>0</v>
      </c>
      <c r="C10" s="47" t="n">
        <f aca="false">Supuestos!$B$88</f>
        <v>1500</v>
      </c>
      <c r="D10" s="47" t="n">
        <f aca="false">0</f>
        <v>0</v>
      </c>
      <c r="E10" s="47" t="n">
        <f aca="false">0</f>
        <v>0</v>
      </c>
      <c r="F10" s="47" t="n">
        <f aca="false">0</f>
        <v>0</v>
      </c>
      <c r="G10" s="47" t="n">
        <f aca="false">0</f>
        <v>0</v>
      </c>
      <c r="H10" s="47" t="n">
        <f aca="false">0</f>
        <v>0</v>
      </c>
      <c r="I10" s="47" t="n">
        <f aca="false">0</f>
        <v>0</v>
      </c>
      <c r="J10" s="47" t="n">
        <f aca="false">0</f>
        <v>0</v>
      </c>
      <c r="K10" s="47" t="n">
        <f aca="false">0</f>
        <v>0</v>
      </c>
      <c r="L10" s="47" t="n">
        <f aca="false">0</f>
        <v>0</v>
      </c>
      <c r="M10" s="47" t="n">
        <f aca="false">0</f>
        <v>0</v>
      </c>
      <c r="N10" s="47" t="n">
        <f aca="false">0</f>
        <v>0</v>
      </c>
      <c r="O10" s="47" t="n">
        <f aca="false">0</f>
        <v>0</v>
      </c>
    </row>
    <row r="11" customFormat="false" ht="15" hidden="false" customHeight="false" outlineLevel="0" collapsed="false">
      <c r="A11" s="29" t="s">
        <v>296</v>
      </c>
      <c r="B11" s="46" t="n">
        <f aca="false">SUM(D11:O11)</f>
        <v>0</v>
      </c>
      <c r="C11" s="47" t="n">
        <f aca="false">Supuestos!$B$89</f>
        <v>2000</v>
      </c>
      <c r="D11" s="47" t="n">
        <f aca="false">0</f>
        <v>0</v>
      </c>
      <c r="E11" s="47" t="n">
        <f aca="false">0</f>
        <v>0</v>
      </c>
      <c r="F11" s="47" t="n">
        <f aca="false">0</f>
        <v>0</v>
      </c>
      <c r="G11" s="47" t="n">
        <f aca="false">0</f>
        <v>0</v>
      </c>
      <c r="H11" s="47" t="n">
        <f aca="false">0</f>
        <v>0</v>
      </c>
      <c r="I11" s="47" t="n">
        <f aca="false">0</f>
        <v>0</v>
      </c>
      <c r="J11" s="47" t="n">
        <f aca="false">0</f>
        <v>0</v>
      </c>
      <c r="K11" s="47" t="n">
        <f aca="false">0</f>
        <v>0</v>
      </c>
      <c r="L11" s="47" t="n">
        <f aca="false">0</f>
        <v>0</v>
      </c>
      <c r="M11" s="47" t="n">
        <f aca="false">0</f>
        <v>0</v>
      </c>
      <c r="N11" s="47" t="n">
        <f aca="false">0</f>
        <v>0</v>
      </c>
      <c r="O11" s="47" t="n">
        <f aca="false">0</f>
        <v>0</v>
      </c>
    </row>
    <row r="12" customFormat="false" ht="15" hidden="false" customHeight="false" outlineLevel="0" collapsed="false">
      <c r="A12" s="29" t="s">
        <v>297</v>
      </c>
      <c r="B12" s="46" t="n">
        <f aca="false">SUM(D12:O12)</f>
        <v>0</v>
      </c>
      <c r="C12" s="47" t="n">
        <f aca="false">Supuestos!$B$90*Supuestos!$B$91</f>
        <v>1500</v>
      </c>
      <c r="D12" s="47" t="n">
        <f aca="false">0</f>
        <v>0</v>
      </c>
      <c r="E12" s="47" t="n">
        <f aca="false">0</f>
        <v>0</v>
      </c>
      <c r="F12" s="47" t="n">
        <f aca="false">0</f>
        <v>0</v>
      </c>
      <c r="G12" s="47" t="n">
        <f aca="false">0</f>
        <v>0</v>
      </c>
      <c r="H12" s="47" t="n">
        <f aca="false">0</f>
        <v>0</v>
      </c>
      <c r="I12" s="47" t="n">
        <f aca="false">0</f>
        <v>0</v>
      </c>
      <c r="J12" s="47" t="n">
        <f aca="false">0</f>
        <v>0</v>
      </c>
      <c r="K12" s="47" t="n">
        <f aca="false">0</f>
        <v>0</v>
      </c>
      <c r="L12" s="47" t="n">
        <f aca="false">0</f>
        <v>0</v>
      </c>
      <c r="M12" s="47" t="n">
        <f aca="false">0</f>
        <v>0</v>
      </c>
      <c r="N12" s="47" t="n">
        <f aca="false">0</f>
        <v>0</v>
      </c>
      <c r="O12" s="47" t="n">
        <f aca="false">0</f>
        <v>0</v>
      </c>
    </row>
    <row r="13" customFormat="false" ht="15" hidden="false" customHeight="false" outlineLevel="0" collapsed="false">
      <c r="A13" s="29" t="s">
        <v>298</v>
      </c>
      <c r="B13" s="46" t="n">
        <f aca="false">SUM(D13:O13)</f>
        <v>0</v>
      </c>
      <c r="C13" s="47" t="n">
        <f aca="false">Supuestos!$B$92*10</f>
        <v>1000</v>
      </c>
      <c r="D13" s="47" t="n">
        <f aca="false">0</f>
        <v>0</v>
      </c>
      <c r="E13" s="47" t="n">
        <f aca="false">0</f>
        <v>0</v>
      </c>
      <c r="F13" s="47" t="n">
        <f aca="false">0</f>
        <v>0</v>
      </c>
      <c r="G13" s="47" t="n">
        <f aca="false">0</f>
        <v>0</v>
      </c>
      <c r="H13" s="47" t="n">
        <f aca="false">0</f>
        <v>0</v>
      </c>
      <c r="I13" s="47" t="n">
        <f aca="false">0</f>
        <v>0</v>
      </c>
      <c r="J13" s="47" t="n">
        <f aca="false">0</f>
        <v>0</v>
      </c>
      <c r="K13" s="47" t="n">
        <f aca="false">0</f>
        <v>0</v>
      </c>
      <c r="L13" s="47" t="n">
        <f aca="false">0</f>
        <v>0</v>
      </c>
      <c r="M13" s="47" t="n">
        <f aca="false">0</f>
        <v>0</v>
      </c>
      <c r="N13" s="47" t="n">
        <f aca="false">0</f>
        <v>0</v>
      </c>
      <c r="O13" s="47" t="n">
        <f aca="false">0</f>
        <v>0</v>
      </c>
    </row>
    <row r="14" customFormat="false" ht="15" hidden="false" customHeight="false" outlineLevel="0" collapsed="false">
      <c r="A14" s="29" t="s">
        <v>299</v>
      </c>
      <c r="B14" s="46" t="n">
        <f aca="false">SUM(D14:O14)</f>
        <v>0</v>
      </c>
      <c r="C14" s="47" t="n">
        <f aca="false">Supuestos!$B$59*Supuestos!$B$93*Supuestos!$B$6</f>
        <v>3680</v>
      </c>
      <c r="D14" s="47" t="n">
        <f aca="false">0</f>
        <v>0</v>
      </c>
      <c r="E14" s="47" t="n">
        <f aca="false">0</f>
        <v>0</v>
      </c>
      <c r="F14" s="47" t="n">
        <f aca="false">0</f>
        <v>0</v>
      </c>
      <c r="G14" s="47" t="n">
        <f aca="false">0</f>
        <v>0</v>
      </c>
      <c r="H14" s="47" t="n">
        <f aca="false">0</f>
        <v>0</v>
      </c>
      <c r="I14" s="47" t="n">
        <f aca="false">0</f>
        <v>0</v>
      </c>
      <c r="J14" s="47" t="n">
        <f aca="false">0</f>
        <v>0</v>
      </c>
      <c r="K14" s="47" t="n">
        <f aca="false">0</f>
        <v>0</v>
      </c>
      <c r="L14" s="47" t="n">
        <f aca="false">0</f>
        <v>0</v>
      </c>
      <c r="M14" s="47" t="n">
        <f aca="false">0</f>
        <v>0</v>
      </c>
      <c r="N14" s="47" t="n">
        <f aca="false">0</f>
        <v>0</v>
      </c>
      <c r="O14" s="47" t="n">
        <f aca="false">0</f>
        <v>0</v>
      </c>
    </row>
    <row r="15" customFormat="false" ht="15" hidden="false" customHeight="false" outlineLevel="0" collapsed="false">
      <c r="A15" s="50" t="s">
        <v>300</v>
      </c>
      <c r="B15" s="46" t="n">
        <f aca="false">SUM(D15:O15)</f>
        <v>0</v>
      </c>
      <c r="C15" s="46" t="n">
        <f aca="false">SUM(C6:C14)</f>
        <v>25996</v>
      </c>
      <c r="D15" s="46" t="n">
        <f aca="false">SUM(D6:D14)</f>
        <v>0</v>
      </c>
      <c r="E15" s="46" t="n">
        <f aca="false">SUM(E6:E14)</f>
        <v>0</v>
      </c>
      <c r="F15" s="46" t="n">
        <f aca="false">SUM(F6:F14)</f>
        <v>0</v>
      </c>
      <c r="G15" s="46" t="n">
        <f aca="false">SUM(G6:G14)</f>
        <v>0</v>
      </c>
      <c r="H15" s="46" t="n">
        <f aca="false">SUM(H6:H14)</f>
        <v>0</v>
      </c>
      <c r="I15" s="46" t="n">
        <f aca="false">SUM(I6:I14)</f>
        <v>0</v>
      </c>
      <c r="J15" s="46" t="n">
        <f aca="false">SUM(J6:J14)</f>
        <v>0</v>
      </c>
      <c r="K15" s="46" t="n">
        <f aca="false">SUM(K6:K14)</f>
        <v>0</v>
      </c>
      <c r="L15" s="46" t="n">
        <f aca="false">SUM(L6:L14)</f>
        <v>0</v>
      </c>
      <c r="M15" s="46" t="n">
        <f aca="false">SUM(M6:M14)</f>
        <v>0</v>
      </c>
      <c r="N15" s="46" t="n">
        <f aca="false">SUM(N6:N14)</f>
        <v>0</v>
      </c>
      <c r="O15" s="46" t="n">
        <f aca="false">SUM(O6:O14)</f>
        <v>0</v>
      </c>
    </row>
    <row r="16" customFormat="false" ht="15" hidden="false" customHeight="false" outlineLevel="0" collapsed="false">
      <c r="A16" s="43" t="s">
        <v>301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</row>
    <row r="17" customFormat="false" ht="15" hidden="false" customHeight="false" outlineLevel="0" collapsed="false">
      <c r="A17" s="29" t="s">
        <v>302</v>
      </c>
      <c r="B17" s="46" t="n">
        <f aca="false">SUM(D17:O17)</f>
        <v>133713.200159907</v>
      </c>
      <c r="C17" s="47" t="n">
        <f aca="false">0</f>
        <v>0</v>
      </c>
      <c r="D17" s="47" t="n">
        <f aca="false">'PyG 12 meses'!C18</f>
        <v>2476.43288888889</v>
      </c>
      <c r="E17" s="47" t="n">
        <f aca="false">'PyG 12 meses'!D18</f>
        <v>3056.75360803213</v>
      </c>
      <c r="F17" s="47" t="n">
        <f aca="false">'PyG 12 meses'!E18</f>
        <v>3651.15638927499</v>
      </c>
      <c r="G17" s="47" t="n">
        <f aca="false">'PyG 12 meses'!F18</f>
        <v>4807.02224852931</v>
      </c>
      <c r="H17" s="47" t="n">
        <f aca="false">'PyG 12 meses'!G18</f>
        <v>6261.98248809777</v>
      </c>
      <c r="I17" s="47" t="n">
        <f aca="false">'PyG 12 meses'!H18</f>
        <v>8276.56213211349</v>
      </c>
      <c r="J17" s="47" t="n">
        <f aca="false">'PyG 12 meses'!I18</f>
        <v>10109.4645028989</v>
      </c>
      <c r="K17" s="47" t="n">
        <f aca="false">'PyG 12 meses'!J18</f>
        <v>12427.5080603036</v>
      </c>
      <c r="L17" s="47" t="n">
        <f aca="false">'PyG 12 meses'!K18</f>
        <v>15225.6926965238</v>
      </c>
      <c r="M17" s="47" t="n">
        <f aca="false">'PyG 12 meses'!L18</f>
        <v>18417.6101282197</v>
      </c>
      <c r="N17" s="47" t="n">
        <f aca="false">'PyG 12 meses'!M18</f>
        <v>22225.8942123962</v>
      </c>
      <c r="O17" s="47" t="n">
        <f aca="false">'PyG 12 meses'!N18</f>
        <v>26777.1208046281</v>
      </c>
    </row>
    <row r="18" customFormat="false" ht="15" hidden="false" customHeight="false" outlineLevel="0" collapsed="false">
      <c r="A18" s="29" t="s">
        <v>303</v>
      </c>
      <c r="B18" s="46" t="n">
        <f aca="false">SUM(D18:O18)</f>
        <v>181422.570867575</v>
      </c>
      <c r="C18" s="47" t="n">
        <f aca="false">0</f>
        <v>0</v>
      </c>
      <c r="D18" s="47" t="n">
        <f aca="false">Supuestos!$B$97</f>
        <v>9000</v>
      </c>
      <c r="E18" s="47" t="n">
        <f aca="false">D20</f>
        <v>0</v>
      </c>
      <c r="F18" s="47" t="n">
        <f aca="false">E20</f>
        <v>0</v>
      </c>
      <c r="G18" s="47" t="n">
        <f aca="false">F20</f>
        <v>10953.469167825</v>
      </c>
      <c r="H18" s="47" t="n">
        <f aca="false">G20</f>
        <v>0</v>
      </c>
      <c r="I18" s="47" t="n">
        <f aca="false">H20</f>
        <v>18785.9474642933</v>
      </c>
      <c r="J18" s="47" t="n">
        <f aca="false">I20</f>
        <v>0</v>
      </c>
      <c r="K18" s="47" t="n">
        <f aca="false">J20</f>
        <v>30328.3935086967</v>
      </c>
      <c r="L18" s="47" t="n">
        <f aca="false">K20</f>
        <v>0</v>
      </c>
      <c r="M18" s="47" t="n">
        <f aca="false">L20</f>
        <v>45677.0780895713</v>
      </c>
      <c r="N18" s="47" t="n">
        <f aca="false">M20</f>
        <v>0</v>
      </c>
      <c r="O18" s="47" t="n">
        <f aca="false">N20</f>
        <v>66677.6826371887</v>
      </c>
    </row>
    <row r="19" customFormat="false" ht="15" hidden="false" customHeight="false" outlineLevel="0" collapsed="false">
      <c r="A19" s="29" t="s">
        <v>304</v>
      </c>
      <c r="B19" s="55" t="n">
        <f aca="false">SUM(D19:O19)</f>
        <v>706.449871848255</v>
      </c>
      <c r="C19" s="56" t="n">
        <f aca="false">0</f>
        <v>0</v>
      </c>
      <c r="D19" s="56" t="n">
        <f aca="false">IFERROR((C23+D18)/(D17/30),999)</f>
        <v>109.027787997575</v>
      </c>
      <c r="E19" s="56" t="n">
        <f aca="false">IFERROR((D23+E18)/(E17/30),999)</f>
        <v>64.0244646539651</v>
      </c>
      <c r="F19" s="56" t="n">
        <f aca="false">IFERROR((E23+F18)/(F17/30),999)</f>
        <v>28.4853328654655</v>
      </c>
      <c r="G19" s="56" t="n">
        <f aca="false">IFERROR((F23+G18)/(G17/30),999)</f>
        <v>67.2087150309555</v>
      </c>
      <c r="H19" s="56" t="n">
        <f aca="false">IFERROR((G23+H18)/(H17/30),999)</f>
        <v>28.5633377820774</v>
      </c>
      <c r="I19" s="56" t="n">
        <f aca="false">IFERROR((H23+I18)/(I17/30),999)</f>
        <v>67.006332028494</v>
      </c>
      <c r="J19" s="56" t="n">
        <f aca="false">IFERROR((I23+J18)/(J17/30),999)</f>
        <v>30.2968773694813</v>
      </c>
      <c r="K19" s="56" t="n">
        <f aca="false">IFERROR((J23+K18)/(K17/30),999)</f>
        <v>73.4542333072591</v>
      </c>
      <c r="L19" s="56" t="n">
        <f aca="false">IFERROR((K23+L18)/(L17/30),999)</f>
        <v>35.4681948101824</v>
      </c>
      <c r="M19" s="56" t="n">
        <f aca="false">IFERROR((L23+M18)/(M17/30),999)</f>
        <v>78.9228019461939</v>
      </c>
      <c r="N19" s="56" t="n">
        <f aca="false">IFERROR((M23+N18)/(N17/30),999)</f>
        <v>40.5401503316148</v>
      </c>
      <c r="O19" s="56" t="n">
        <f aca="false">IFERROR((N23+O18)/(O17/30),999)</f>
        <v>83.4516437249914</v>
      </c>
    </row>
    <row r="20" customFormat="false" ht="15" hidden="false" customHeight="false" outlineLevel="0" collapsed="false">
      <c r="A20" s="29" t="s">
        <v>305</v>
      </c>
      <c r="B20" s="46" t="n">
        <f aca="false">SUM(D20:O20)</f>
        <v>172422.570867575</v>
      </c>
      <c r="C20" s="47" t="n">
        <f aca="false">0</f>
        <v>0</v>
      </c>
      <c r="D20" s="47" t="n">
        <f aca="false">IF(D19&lt;Supuestos!$B$100,D17*Supuestos!$B$101/30,0)</f>
        <v>0</v>
      </c>
      <c r="E20" s="47" t="n">
        <f aca="false">IF(E19&lt;Supuestos!$B$100,E17*Supuestos!$B$101/30,0)</f>
        <v>0</v>
      </c>
      <c r="F20" s="47" t="n">
        <f aca="false">IF(F19&lt;Supuestos!$B$100,F17*Supuestos!$B$101/30,0)</f>
        <v>10953.469167825</v>
      </c>
      <c r="G20" s="47" t="n">
        <f aca="false">IF(G19&lt;Supuestos!$B$100,G17*Supuestos!$B$101/30,0)</f>
        <v>0</v>
      </c>
      <c r="H20" s="47" t="n">
        <f aca="false">IF(H19&lt;Supuestos!$B$100,H17*Supuestos!$B$101/30,0)</f>
        <v>18785.9474642933</v>
      </c>
      <c r="I20" s="47" t="n">
        <f aca="false">IF(I19&lt;Supuestos!$B$100,I17*Supuestos!$B$101/30,0)</f>
        <v>0</v>
      </c>
      <c r="J20" s="47" t="n">
        <f aca="false">IF(J19&lt;Supuestos!$B$100,J17*Supuestos!$B$101/30,0)</f>
        <v>30328.3935086967</v>
      </c>
      <c r="K20" s="47" t="n">
        <f aca="false">IF(K19&lt;Supuestos!$B$100,K17*Supuestos!$B$101/30,0)</f>
        <v>0</v>
      </c>
      <c r="L20" s="47" t="n">
        <f aca="false">IF(L19&lt;Supuestos!$B$100,L17*Supuestos!$B$101/30,0)</f>
        <v>45677.0780895713</v>
      </c>
      <c r="M20" s="47" t="n">
        <f aca="false">IF(M19&lt;Supuestos!$B$100,M17*Supuestos!$B$101/30,0)</f>
        <v>0</v>
      </c>
      <c r="N20" s="47" t="n">
        <f aca="false">IF(N19&lt;Supuestos!$B$100,N17*Supuestos!$B$101/30,0)</f>
        <v>66677.6826371887</v>
      </c>
      <c r="O20" s="47" t="n">
        <f aca="false">IF(O19&lt;Supuestos!$B$100,O17*Supuestos!$B$101/30,0)</f>
        <v>0</v>
      </c>
    </row>
    <row r="21" customFormat="false" ht="15" hidden="false" customHeight="false" outlineLevel="0" collapsed="false">
      <c r="A21" s="29" t="s">
        <v>306</v>
      </c>
      <c r="B21" s="46" t="n">
        <f aca="false">SUM(D21:O21)</f>
        <v>51726.7712602725</v>
      </c>
      <c r="C21" s="47" t="n">
        <f aca="false">Supuestos!$B$97*Supuestos!$B$98</f>
        <v>2700</v>
      </c>
      <c r="D21" s="47" t="n">
        <f aca="false">D20*Supuestos!$B$98</f>
        <v>0</v>
      </c>
      <c r="E21" s="47" t="n">
        <f aca="false">E20*Supuestos!$B$98</f>
        <v>0</v>
      </c>
      <c r="F21" s="47" t="n">
        <f aca="false">F20*Supuestos!$B$98</f>
        <v>3286.0407503475</v>
      </c>
      <c r="G21" s="47" t="n">
        <f aca="false">G20*Supuestos!$B$98</f>
        <v>0</v>
      </c>
      <c r="H21" s="47" t="n">
        <f aca="false">H20*Supuestos!$B$98</f>
        <v>5635.784239288</v>
      </c>
      <c r="I21" s="47" t="n">
        <f aca="false">I20*Supuestos!$B$98</f>
        <v>0</v>
      </c>
      <c r="J21" s="47" t="n">
        <f aca="false">J20*Supuestos!$B$98</f>
        <v>9098.518052609</v>
      </c>
      <c r="K21" s="47" t="n">
        <f aca="false">K20*Supuestos!$B$98</f>
        <v>0</v>
      </c>
      <c r="L21" s="47" t="n">
        <f aca="false">L20*Supuestos!$B$98</f>
        <v>13703.1234268714</v>
      </c>
      <c r="M21" s="47" t="n">
        <f aca="false">M20*Supuestos!$B$98</f>
        <v>0</v>
      </c>
      <c r="N21" s="47" t="n">
        <f aca="false">N20*Supuestos!$B$98</f>
        <v>20003.3047911566</v>
      </c>
      <c r="O21" s="47" t="n">
        <f aca="false">O20*Supuestos!$B$98</f>
        <v>0</v>
      </c>
    </row>
    <row r="22" customFormat="false" ht="15" hidden="false" customHeight="false" outlineLevel="0" collapsed="false">
      <c r="A22" s="29" t="s">
        <v>307</v>
      </c>
      <c r="B22" s="46" t="n">
        <f aca="false">SUM(D22:O22)</f>
        <v>126995.799607302</v>
      </c>
      <c r="C22" s="47" t="n">
        <f aca="false">0</f>
        <v>0</v>
      </c>
      <c r="D22" s="47" t="n">
        <f aca="false">Supuestos!$B$97*Supuestos!$B$99</f>
        <v>6300</v>
      </c>
      <c r="E22" s="47" t="n">
        <f aca="false">D20*Supuestos!$B$99</f>
        <v>0</v>
      </c>
      <c r="F22" s="47" t="n">
        <f aca="false">E20*Supuestos!$B$99</f>
        <v>0</v>
      </c>
      <c r="G22" s="47" t="n">
        <f aca="false">F20*Supuestos!$B$99</f>
        <v>7667.42841747749</v>
      </c>
      <c r="H22" s="47" t="n">
        <f aca="false">G20*Supuestos!$B$99</f>
        <v>0</v>
      </c>
      <c r="I22" s="47" t="n">
        <f aca="false">H20*Supuestos!$B$99</f>
        <v>13150.1632250053</v>
      </c>
      <c r="J22" s="47" t="n">
        <f aca="false">I20*Supuestos!$B$99</f>
        <v>0</v>
      </c>
      <c r="K22" s="47" t="n">
        <f aca="false">J20*Supuestos!$B$99</f>
        <v>21229.8754560877</v>
      </c>
      <c r="L22" s="47" t="n">
        <f aca="false">K20*Supuestos!$B$99</f>
        <v>0</v>
      </c>
      <c r="M22" s="47" t="n">
        <f aca="false">L20*Supuestos!$B$99</f>
        <v>31973.9546626999</v>
      </c>
      <c r="N22" s="47" t="n">
        <f aca="false">M20*Supuestos!$B$99</f>
        <v>0</v>
      </c>
      <c r="O22" s="47" t="n">
        <f aca="false">N20*Supuestos!$B$99</f>
        <v>46674.3778460321</v>
      </c>
    </row>
    <row r="23" customFormat="false" ht="15" hidden="false" customHeight="false" outlineLevel="0" collapsed="false">
      <c r="A23" s="29" t="s">
        <v>308</v>
      </c>
      <c r="B23" s="46" t="n">
        <f aca="false">O23</f>
        <v>47709.370707668</v>
      </c>
      <c r="C23" s="47" t="n">
        <f aca="false">0</f>
        <v>0</v>
      </c>
      <c r="D23" s="47" t="n">
        <f aca="false">C23+D18-D17</f>
        <v>6523.56711111111</v>
      </c>
      <c r="E23" s="47" t="n">
        <f aca="false">D23+E18-E17</f>
        <v>3466.81350307898</v>
      </c>
      <c r="F23" s="47" t="n">
        <f aca="false">E23+F18-F17</f>
        <v>-184.342886196011</v>
      </c>
      <c r="G23" s="47" t="n">
        <f aca="false">F23+G18-G17</f>
        <v>5962.10403309966</v>
      </c>
      <c r="H23" s="47" t="n">
        <f aca="false">G23+H18-H17</f>
        <v>-299.878454998107</v>
      </c>
      <c r="I23" s="47" t="n">
        <f aca="false">H23+I18-I17</f>
        <v>10209.5068771817</v>
      </c>
      <c r="J23" s="47" t="n">
        <f aca="false">I23+J18-J17</f>
        <v>100.042374282833</v>
      </c>
      <c r="K23" s="47" t="n">
        <f aca="false">J23+K18-K17</f>
        <v>18000.9278226759</v>
      </c>
      <c r="L23" s="47" t="n">
        <f aca="false">K23+L18-L17</f>
        <v>2775.23512615212</v>
      </c>
      <c r="M23" s="47" t="n">
        <f aca="false">L23+M18-M17</f>
        <v>30034.7030875037</v>
      </c>
      <c r="N23" s="47" t="n">
        <f aca="false">M23+N18-N17</f>
        <v>7808.80887510742</v>
      </c>
      <c r="O23" s="47" t="n">
        <f aca="false">N23+O18-O17</f>
        <v>47709.370707668</v>
      </c>
    </row>
    <row r="24" customFormat="false" ht="15" hidden="false" customHeight="false" outlineLevel="0" collapsed="false">
      <c r="A24" s="43" t="s">
        <v>309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</row>
    <row r="25" customFormat="false" ht="15" hidden="false" customHeight="false" outlineLevel="0" collapsed="false">
      <c r="A25" s="29" t="s">
        <v>310</v>
      </c>
      <c r="B25" s="46" t="n">
        <f aca="false">SUM(D25:O25)</f>
        <v>325028.424235843</v>
      </c>
      <c r="C25" s="47" t="n">
        <f aca="false">0</f>
        <v>0</v>
      </c>
      <c r="D25" s="47" t="n">
        <f aca="false">'PyG 12 meses'!C15*(1-Supuestos!$B$102/30)</f>
        <v>5911.11111111111</v>
      </c>
      <c r="E25" s="47" t="n">
        <f aca="false">'PyG 12 meses'!D15*(1-Supuestos!$B$102/30)+'PyG 12 meses'!C15*(Supuestos!$B$102/30)</f>
        <v>7585.52744310576</v>
      </c>
      <c r="F25" s="47" t="n">
        <f aca="false">'PyG 12 meses'!E15*(1-Supuestos!$B$102/30)+'PyG 12 meses'!D15*(Supuestos!$B$102/30)</f>
        <v>8969.51024096386</v>
      </c>
      <c r="G25" s="47" t="n">
        <f aca="false">'PyG 12 meses'!F15*(1-Supuestos!$B$102/30)+'PyG 12 meses'!E15*(Supuestos!$B$102/30)</f>
        <v>11702.0566109365</v>
      </c>
      <c r="H25" s="47" t="n">
        <f aca="false">'PyG 12 meses'!G15*(1-Supuestos!$B$102/30)+'PyG 12 meses'!F15*(Supuestos!$B$102/30)</f>
        <v>15246.4932109295</v>
      </c>
      <c r="I25" s="47" t="n">
        <f aca="false">'PyG 12 meses'!H15*(1-Supuestos!$B$102/30)+'PyG 12 meses'!G15*(Supuestos!$B$102/30)</f>
        <v>20137.1967713039</v>
      </c>
      <c r="J25" s="47" t="n">
        <f aca="false">'PyG 12 meses'!I15*(1-Supuestos!$B$102/30)+'PyG 12 meses'!H15*(Supuestos!$B$102/30)</f>
        <v>24628.6915364394</v>
      </c>
      <c r="K25" s="47" t="n">
        <f aca="false">'PyG 12 meses'!J15*(1-Supuestos!$B$102/30)+'PyG 12 meses'!I15*(Supuestos!$B$102/30)</f>
        <v>30212.7536982554</v>
      </c>
      <c r="L25" s="47" t="n">
        <f aca="false">'PyG 12 meses'!K15*(1-Supuestos!$B$102/30)+'PyG 12 meses'!J15*(Supuestos!$B$102/30)</f>
        <v>36985.1318169796</v>
      </c>
      <c r="M25" s="47" t="n">
        <f aca="false">'PyG 12 meses'!L15*(1-Supuestos!$B$102/30)+'PyG 12 meses'!K15*(Supuestos!$B$102/30)</f>
        <v>44728.8534811482</v>
      </c>
      <c r="N25" s="47" t="n">
        <f aca="false">'PyG 12 meses'!M15*(1-Supuestos!$B$102/30)+'PyG 12 meses'!L15*(Supuestos!$B$102/30)</f>
        <v>53949.0258575214</v>
      </c>
      <c r="O25" s="47" t="n">
        <f aca="false">'PyG 12 meses'!N15*(1-Supuestos!$B$102/30)+'PyG 12 meses'!M15*(Supuestos!$B$102/30)</f>
        <v>64972.0724571478</v>
      </c>
    </row>
    <row r="26" customFormat="false" ht="15" hidden="false" customHeight="false" outlineLevel="0" collapsed="false">
      <c r="A26" s="29" t="s">
        <v>311</v>
      </c>
      <c r="B26" s="46" t="n">
        <f aca="false">SUM(D26:O26)</f>
        <v>40419.157547196</v>
      </c>
      <c r="C26" s="47" t="n">
        <f aca="false">0</f>
        <v>0</v>
      </c>
      <c r="D26" s="47" t="n">
        <f aca="false">'PyG 12 meses'!C19+'PyG 12 meses'!C20+'PyG 12 meses'!C21+'PyG 12 meses'!C22</f>
        <v>753</v>
      </c>
      <c r="E26" s="47" t="n">
        <f aca="false">'PyG 12 meses'!D19+'PyG 12 meses'!D20+'PyG 12 meses'!D21+'PyG 12 meses'!D22</f>
        <v>926.748524096386</v>
      </c>
      <c r="F26" s="47" t="n">
        <f aca="false">'PyG 12 meses'!E19+'PyG 12 meses'!E20+'PyG 12 meses'!E21+'PyG 12 meses'!E22</f>
        <v>1104.95671155675</v>
      </c>
      <c r="G26" s="47" t="n">
        <f aca="false">'PyG 12 meses'!F19+'PyG 12 meses'!F20+'PyG 12 meses'!F21+'PyG 12 meses'!F22</f>
        <v>1453.99599944567</v>
      </c>
      <c r="H26" s="47" t="n">
        <f aca="false">'PyG 12 meses'!G19+'PyG 12 meses'!G20+'PyG 12 meses'!G21+'PyG 12 meses'!G22</f>
        <v>1894.01766313457</v>
      </c>
      <c r="I26" s="47" t="n">
        <f aca="false">'PyG 12 meses'!H19+'PyG 12 meses'!H20+'PyG 12 meses'!H21+'PyG 12 meses'!H22</f>
        <v>2503.37343421493</v>
      </c>
      <c r="J26" s="47" t="n">
        <f aca="false">'PyG 12 meses'!I19+'PyG 12 meses'!I20+'PyG 12 meses'!I21+'PyG 12 meses'!I22</f>
        <v>3056.3052163341</v>
      </c>
      <c r="K26" s="47" t="n">
        <f aca="false">'PyG 12 meses'!J19+'PyG 12 meses'!J20+'PyG 12 meses'!J21+'PyG 12 meses'!J22</f>
        <v>3756.13498790795</v>
      </c>
      <c r="L26" s="47" t="n">
        <f aca="false">'PyG 12 meses'!K19+'PyG 12 meses'!K20+'PyG 12 meses'!K21+'PyG 12 meses'!K22</f>
        <v>4601.17976075988</v>
      </c>
      <c r="M26" s="47" t="n">
        <f aca="false">'PyG 12 meses'!L19+'PyG 12 meses'!L20+'PyG 12 meses'!L21+'PyG 12 meses'!L22</f>
        <v>5564.97641162772</v>
      </c>
      <c r="N26" s="47" t="n">
        <f aca="false">'PyG 12 meses'!M19+'PyG 12 meses'!M20+'PyG 12 meses'!M21+'PyG 12 meses'!M22</f>
        <v>6714.99828786174</v>
      </c>
      <c r="O26" s="47" t="n">
        <f aca="false">'PyG 12 meses'!N19+'PyG 12 meses'!N20+'PyG 12 meses'!N21+'PyG 12 meses'!N22</f>
        <v>8089.4705502563</v>
      </c>
    </row>
    <row r="27" customFormat="false" ht="15" hidden="false" customHeight="false" outlineLevel="0" collapsed="false">
      <c r="A27" s="29" t="s">
        <v>312</v>
      </c>
      <c r="B27" s="46" t="n">
        <f aca="false">SUM(D27:O27)</f>
        <v>17124</v>
      </c>
      <c r="C27" s="47" t="n">
        <f aca="false">0</f>
        <v>0</v>
      </c>
      <c r="D27" s="47" t="n">
        <f aca="false">'PyG 12 meses'!C35</f>
        <v>1427</v>
      </c>
      <c r="E27" s="47" t="n">
        <f aca="false">'PyG 12 meses'!D35</f>
        <v>1427</v>
      </c>
      <c r="F27" s="47" t="n">
        <f aca="false">'PyG 12 meses'!E35</f>
        <v>1427</v>
      </c>
      <c r="G27" s="47" t="n">
        <f aca="false">'PyG 12 meses'!F35</f>
        <v>1427</v>
      </c>
      <c r="H27" s="47" t="n">
        <f aca="false">'PyG 12 meses'!G35</f>
        <v>1427</v>
      </c>
      <c r="I27" s="47" t="n">
        <f aca="false">'PyG 12 meses'!H35</f>
        <v>1427</v>
      </c>
      <c r="J27" s="47" t="n">
        <f aca="false">'PyG 12 meses'!I35</f>
        <v>1427</v>
      </c>
      <c r="K27" s="47" t="n">
        <f aca="false">'PyG 12 meses'!J35</f>
        <v>1427</v>
      </c>
      <c r="L27" s="47" t="n">
        <f aca="false">'PyG 12 meses'!K35</f>
        <v>1427</v>
      </c>
      <c r="M27" s="47" t="n">
        <f aca="false">'PyG 12 meses'!L35</f>
        <v>1427</v>
      </c>
      <c r="N27" s="47" t="n">
        <f aca="false">'PyG 12 meses'!M35</f>
        <v>1427</v>
      </c>
      <c r="O27" s="47" t="n">
        <f aca="false">'PyG 12 meses'!N35</f>
        <v>1427</v>
      </c>
    </row>
    <row r="28" customFormat="false" ht="15" hidden="false" customHeight="false" outlineLevel="0" collapsed="false">
      <c r="A28" s="29" t="s">
        <v>313</v>
      </c>
      <c r="B28" s="46" t="n">
        <f aca="false">SUM(D28:O28)</f>
        <v>71396.70528</v>
      </c>
      <c r="C28" s="47" t="n">
        <f aca="false">0</f>
        <v>0</v>
      </c>
      <c r="D28" s="47" t="n">
        <f aca="false">'PyG 12 meses'!C7</f>
        <v>3000</v>
      </c>
      <c r="E28" s="47" t="n">
        <f aca="false">'PyG 12 meses'!D7</f>
        <v>3000</v>
      </c>
      <c r="F28" s="47" t="n">
        <f aca="false">'PyG 12 meses'!E7</f>
        <v>3000</v>
      </c>
      <c r="G28" s="47" t="n">
        <f aca="false">'PyG 12 meses'!F7</f>
        <v>3000</v>
      </c>
      <c r="H28" s="47" t="n">
        <f aca="false">'PyG 12 meses'!G7</f>
        <v>3600</v>
      </c>
      <c r="I28" s="47" t="n">
        <f aca="false">'PyG 12 meses'!H7</f>
        <v>4320</v>
      </c>
      <c r="J28" s="47" t="n">
        <f aca="false">'PyG 12 meses'!I7</f>
        <v>5184</v>
      </c>
      <c r="K28" s="47" t="n">
        <f aca="false">'PyG 12 meses'!J7</f>
        <v>6220.8</v>
      </c>
      <c r="L28" s="47" t="n">
        <f aca="false">'PyG 12 meses'!K7</f>
        <v>7464.96</v>
      </c>
      <c r="M28" s="47" t="n">
        <f aca="false">'PyG 12 meses'!L7</f>
        <v>8957.952</v>
      </c>
      <c r="N28" s="47" t="n">
        <f aca="false">'PyG 12 meses'!M7</f>
        <v>10749.5424</v>
      </c>
      <c r="O28" s="47" t="n">
        <f aca="false">'PyG 12 meses'!N7</f>
        <v>12899.45088</v>
      </c>
    </row>
    <row r="29" customFormat="false" ht="15" hidden="false" customHeight="false" outlineLevel="0" collapsed="false">
      <c r="A29" s="29" t="s">
        <v>314</v>
      </c>
      <c r="B29" s="46" t="n">
        <f aca="false">SUM(D29:O29)</f>
        <v>25494.4191607384</v>
      </c>
      <c r="C29" s="47" t="n">
        <f aca="false">0</f>
        <v>0</v>
      </c>
      <c r="D29" s="47" t="n">
        <f aca="false">'PyG 12 meses'!C15-'PyG 12 meses'!C16-(Supuestos!$B$7)*(D17+'PyG 12 meses'!C35)</f>
        <v>279.452647052341</v>
      </c>
      <c r="E29" s="47" t="n">
        <f aca="false">'PyG 12 meses'!D15-'PyG 12 meses'!D16-(Supuestos!$B$7)*(E17+'PyG 12 meses'!D35)</f>
        <v>390.431308180026</v>
      </c>
      <c r="F29" s="47" t="n">
        <f aca="false">'PyG 12 meses'!E15-'PyG 12 meses'!E16-(Supuestos!$B$7)*(F17+'PyG 12 meses'!E35)</f>
        <v>506.3270392639</v>
      </c>
      <c r="G29" s="47" t="n">
        <f aca="false">'PyG 12 meses'!F15-'PyG 12 meses'!F16-(Supuestos!$B$7)*(G17+'PyG 12 meses'!F35)</f>
        <v>754.519027243666</v>
      </c>
      <c r="H29" s="47" t="n">
        <f aca="false">'PyG 12 meses'!G15-'PyG 12 meses'!G16-(Supuestos!$B$7)*(H17+'PyG 12 meses'!G35)</f>
        <v>1073.00084031599</v>
      </c>
      <c r="I29" s="47" t="n">
        <f aca="false">'PyG 12 meses'!H15-'PyG 12 meses'!H16-(Supuestos!$B$7)*(I17+'PyG 12 meses'!H35)</f>
        <v>1514.79435854893</v>
      </c>
      <c r="J29" s="47" t="n">
        <f aca="false">'PyG 12 meses'!I15-'PyG 12 meses'!I16-(Supuestos!$B$7)*(J17+'PyG 12 meses'!I35)</f>
        <v>1903.3047937165</v>
      </c>
      <c r="K29" s="47" t="n">
        <f aca="false">'PyG 12 meses'!J15-'PyG 12 meses'!J16-(Supuestos!$B$7)*(K17+'PyG 12 meses'!J35)</f>
        <v>2399.63003218399</v>
      </c>
      <c r="L29" s="47" t="n">
        <f aca="false">'PyG 12 meses'!K15-'PyG 12 meses'!K16-(Supuestos!$B$7)*(L17+'PyG 12 meses'!K35)</f>
        <v>3001.11531214914</v>
      </c>
      <c r="M29" s="47" t="n">
        <f aca="false">'PyG 12 meses'!L15-'PyG 12 meses'!L16-(Supuestos!$B$7)*(M17+'PyG 12 meses'!L35)</f>
        <v>3685.82489100359</v>
      </c>
      <c r="N29" s="47" t="n">
        <f aca="false">'PyG 12 meses'!M15-'PyG 12 meses'!M16-(Supuestos!$B$7)*(N17+'PyG 12 meses'!M35)</f>
        <v>4503.79350816524</v>
      </c>
      <c r="O29" s="47" t="n">
        <f aca="false">'PyG 12 meses'!N15-'PyG 12 meses'!N16-(Supuestos!$B$7)*(O17+'PyG 12 meses'!N35)</f>
        <v>5482.22540291508</v>
      </c>
    </row>
    <row r="30" customFormat="false" ht="15" hidden="false" customHeight="false" outlineLevel="0" collapsed="false">
      <c r="A30" s="29" t="s">
        <v>315</v>
      </c>
      <c r="B30" s="46" t="n">
        <f aca="false">SUM(D30:O30)</f>
        <v>11822.5753586545</v>
      </c>
      <c r="C30" s="47" t="n">
        <f aca="false">0</f>
        <v>0</v>
      </c>
      <c r="D30" s="47" t="n">
        <f aca="false">0</f>
        <v>0</v>
      </c>
      <c r="E30" s="47" t="n">
        <f aca="false">0</f>
        <v>0</v>
      </c>
      <c r="F30" s="47" t="n">
        <f aca="false">0</f>
        <v>0</v>
      </c>
      <c r="G30" s="47" t="n">
        <f aca="false">SUM(D29:F29)</f>
        <v>1176.21099449627</v>
      </c>
      <c r="H30" s="47" t="n">
        <f aca="false">0</f>
        <v>0</v>
      </c>
      <c r="I30" s="47" t="n">
        <f aca="false">0</f>
        <v>0</v>
      </c>
      <c r="J30" s="47" t="n">
        <f aca="false">SUM(G29:I29)</f>
        <v>3342.31422610858</v>
      </c>
      <c r="K30" s="47" t="n">
        <f aca="false">0</f>
        <v>0</v>
      </c>
      <c r="L30" s="47" t="n">
        <f aca="false">0</f>
        <v>0</v>
      </c>
      <c r="M30" s="47" t="n">
        <f aca="false">SUM(J29:L29)</f>
        <v>7304.05013804962</v>
      </c>
      <c r="N30" s="47" t="n">
        <f aca="false">0</f>
        <v>0</v>
      </c>
      <c r="O30" s="47" t="n">
        <f aca="false">0</f>
        <v>0</v>
      </c>
    </row>
    <row r="31" customFormat="false" ht="15" hidden="false" customHeight="false" outlineLevel="0" collapsed="false">
      <c r="A31" s="43" t="s">
        <v>316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customFormat="false" ht="15" hidden="false" customHeight="false" outlineLevel="0" collapsed="false">
      <c r="A32" s="29" t="s">
        <v>317</v>
      </c>
      <c r="B32" s="46" t="n">
        <f aca="false">SUM(D32:O32)</f>
        <v>-68520.0341198922</v>
      </c>
      <c r="C32" s="47" t="n">
        <f aca="false">0</f>
        <v>0</v>
      </c>
      <c r="D32" s="47" t="n">
        <f aca="false">C35</f>
        <v>-3696</v>
      </c>
      <c r="E32" s="47" t="n">
        <f aca="false">D35</f>
        <v>-9264.88888888889</v>
      </c>
      <c r="F32" s="47" t="n">
        <f aca="false">E35</f>
        <v>-7033.10996987952</v>
      </c>
      <c r="G32" s="47" t="n">
        <f aca="false">F35</f>
        <v>-6881.59719081991</v>
      </c>
      <c r="H32" s="47" t="n">
        <f aca="false">G35</f>
        <v>-9904.17599130283</v>
      </c>
      <c r="I32" s="47" t="n">
        <f aca="false">H35</f>
        <v>-7214.48468279589</v>
      </c>
      <c r="J32" s="47" t="n">
        <f aca="false">I35</f>
        <v>-8477.8245707122</v>
      </c>
      <c r="K32" s="47" t="n">
        <f aca="false">J35</f>
        <v>-5957.27052932444</v>
      </c>
      <c r="L32" s="47" t="n">
        <f aca="false">K35</f>
        <v>-8378.32727506466</v>
      </c>
      <c r="M32" s="47" t="n">
        <f aca="false">L35</f>
        <v>1410.54135428369</v>
      </c>
      <c r="N32" s="47" t="n">
        <f aca="false">M35</f>
        <v>-9088.53837694533</v>
      </c>
      <c r="O32" s="47" t="n">
        <f aca="false">N35</f>
        <v>5965.64200155776</v>
      </c>
    </row>
    <row r="33" customFormat="false" ht="15" hidden="false" customHeight="false" outlineLevel="0" collapsed="false">
      <c r="A33" s="50" t="s">
        <v>318</v>
      </c>
      <c r="B33" s="46" t="n">
        <f aca="false">SUM(D33:O33)</f>
        <v>325028.424235843</v>
      </c>
      <c r="C33" s="46" t="n">
        <f aca="false">Supuestos!$B$96</f>
        <v>25000</v>
      </c>
      <c r="D33" s="46" t="n">
        <f aca="false">D25</f>
        <v>5911.11111111111</v>
      </c>
      <c r="E33" s="46" t="n">
        <f aca="false">E25</f>
        <v>7585.52744310576</v>
      </c>
      <c r="F33" s="46" t="n">
        <f aca="false">F25</f>
        <v>8969.51024096386</v>
      </c>
      <c r="G33" s="46" t="n">
        <f aca="false">G25</f>
        <v>11702.0566109365</v>
      </c>
      <c r="H33" s="46" t="n">
        <f aca="false">H25</f>
        <v>15246.4932109295</v>
      </c>
      <c r="I33" s="46" t="n">
        <f aca="false">I25</f>
        <v>20137.1967713039</v>
      </c>
      <c r="J33" s="46" t="n">
        <f aca="false">J25</f>
        <v>24628.6915364394</v>
      </c>
      <c r="K33" s="46" t="n">
        <f aca="false">K25</f>
        <v>30212.7536982554</v>
      </c>
      <c r="L33" s="46" t="n">
        <f aca="false">L25</f>
        <v>36985.1318169796</v>
      </c>
      <c r="M33" s="46" t="n">
        <f aca="false">M25</f>
        <v>44728.8534811482</v>
      </c>
      <c r="N33" s="46" t="n">
        <f aca="false">N25</f>
        <v>53949.0258575214</v>
      </c>
      <c r="O33" s="46" t="n">
        <f aca="false">O25</f>
        <v>64972.0724571478</v>
      </c>
    </row>
    <row r="34" customFormat="false" ht="15" hidden="false" customHeight="false" outlineLevel="0" collapsed="false">
      <c r="A34" s="50" t="s">
        <v>319</v>
      </c>
      <c r="B34" s="46" t="n">
        <f aca="false">SUM(D34:O34)</f>
        <v>319485.009053425</v>
      </c>
      <c r="C34" s="46" t="n">
        <f aca="false">C15+C21</f>
        <v>28696</v>
      </c>
      <c r="D34" s="46" t="n">
        <f aca="false">D21+D22+D26+D27+D28+D30</f>
        <v>11480</v>
      </c>
      <c r="E34" s="46" t="n">
        <f aca="false">E21+E22+E26+E27+E28+E30</f>
        <v>5353.74852409639</v>
      </c>
      <c r="F34" s="46" t="n">
        <f aca="false">F21+F22+F26+F27+F28+F30</f>
        <v>8817.99746190425</v>
      </c>
      <c r="G34" s="46" t="n">
        <f aca="false">G21+G22+G26+G27+G28+G30</f>
        <v>14724.6354114194</v>
      </c>
      <c r="H34" s="46" t="n">
        <f aca="false">H21+H22+H26+H27+H28+H30</f>
        <v>12556.8019024226</v>
      </c>
      <c r="I34" s="46" t="n">
        <f aca="false">I21+I22+I26+I27+I28+I30</f>
        <v>21400.5366592203</v>
      </c>
      <c r="J34" s="46" t="n">
        <f aca="false">J21+J22+J26+J27+J28+J30</f>
        <v>22108.1374950517</v>
      </c>
      <c r="K34" s="46" t="n">
        <f aca="false">K21+K22+K26+K27+K28+K30</f>
        <v>32633.8104439956</v>
      </c>
      <c r="L34" s="46" t="n">
        <f aca="false">L21+L22+L26+L27+L28+L30</f>
        <v>27196.2631876313</v>
      </c>
      <c r="M34" s="46" t="n">
        <f aca="false">M21+M22+M26+M27+M28+M30</f>
        <v>55227.9332123772</v>
      </c>
      <c r="N34" s="46" t="n">
        <f aca="false">N21+N22+N26+N27+N28+N30</f>
        <v>38894.8454790183</v>
      </c>
      <c r="O34" s="46" t="n">
        <f aca="false">O21+O22+O26+O27+O28+O30</f>
        <v>69090.2992762884</v>
      </c>
    </row>
    <row r="35" customFormat="false" ht="15" hidden="false" customHeight="false" outlineLevel="0" collapsed="false">
      <c r="A35" s="50" t="s">
        <v>320</v>
      </c>
      <c r="B35" s="46" t="n">
        <f aca="false">O35</f>
        <v>1847.41518241711</v>
      </c>
      <c r="C35" s="46" t="n">
        <f aca="false">C32+C33-C34</f>
        <v>-3696</v>
      </c>
      <c r="D35" s="46" t="n">
        <f aca="false">D32+D33-D34</f>
        <v>-9264.88888888889</v>
      </c>
      <c r="E35" s="46" t="n">
        <f aca="false">E32+E33-E34</f>
        <v>-7033.10996987952</v>
      </c>
      <c r="F35" s="46" t="n">
        <f aca="false">F32+F33-F34</f>
        <v>-6881.59719081991</v>
      </c>
      <c r="G35" s="46" t="n">
        <f aca="false">G32+G33-G34</f>
        <v>-9904.17599130283</v>
      </c>
      <c r="H35" s="46" t="n">
        <f aca="false">H32+H33-H34</f>
        <v>-7214.48468279589</v>
      </c>
      <c r="I35" s="46" t="n">
        <f aca="false">I32+I33-I34</f>
        <v>-8477.8245707122</v>
      </c>
      <c r="J35" s="46" t="n">
        <f aca="false">J32+J33-J34</f>
        <v>-5957.27052932444</v>
      </c>
      <c r="K35" s="46" t="n">
        <f aca="false">K32+K33-K34</f>
        <v>-8378.32727506466</v>
      </c>
      <c r="L35" s="46" t="n">
        <f aca="false">L32+L33-L34</f>
        <v>1410.54135428369</v>
      </c>
      <c r="M35" s="46" t="n">
        <f aca="false">M32+M33-M34</f>
        <v>-9088.53837694533</v>
      </c>
      <c r="N35" s="46" t="n">
        <f aca="false">N32+N33-N34</f>
        <v>5965.64200155776</v>
      </c>
      <c r="O35" s="46" t="n">
        <f aca="false">O32+O33-O34</f>
        <v>1847.41518241711</v>
      </c>
    </row>
    <row r="37" customFormat="false" ht="15" hidden="false" customHeight="false" outlineLevel="0" collapsed="false">
      <c r="A37" s="57" t="s">
        <v>321</v>
      </c>
      <c r="B37" s="58" t="n">
        <f aca="false">MIN(D35:O35)</f>
        <v>-9904.17599130283</v>
      </c>
    </row>
    <row r="38" customFormat="false" ht="15" hidden="false" customHeight="false" outlineLevel="0" collapsed="false">
      <c r="A38" s="57" t="s">
        <v>322</v>
      </c>
      <c r="B38" s="57" t="str">
        <f aca="false">INDEX(D4:O4,MATCH(B37,D35:O35,0))</f>
        <v>Mes 4</v>
      </c>
    </row>
  </sheetData>
  <mergeCells count="5">
    <mergeCell ref="A1:O1"/>
    <mergeCell ref="A5:O5"/>
    <mergeCell ref="A16:O16"/>
    <mergeCell ref="A24:O24"/>
    <mergeCell ref="A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A4" s="28" t="s">
        <v>233</v>
      </c>
      <c r="B4" s="28" t="s">
        <v>3</v>
      </c>
      <c r="C4" s="28" t="s">
        <v>325</v>
      </c>
    </row>
    <row r="5" customFormat="false" ht="15" hidden="false" customHeight="false" outlineLevel="0" collapsed="false">
      <c r="A5" s="29" t="s">
        <v>326</v>
      </c>
      <c r="B5" s="45" t="n">
        <f aca="false">Supuestos!$B$119</f>
        <v>38</v>
      </c>
      <c r="C5" s="39" t="s">
        <v>327</v>
      </c>
    </row>
    <row r="6" customFormat="false" ht="15" hidden="false" customHeight="false" outlineLevel="0" collapsed="false">
      <c r="A6" s="29" t="s">
        <v>328</v>
      </c>
      <c r="B6" s="45" t="n">
        <f aca="false">B5/(1+Supuestos!$B$7)-'Unit Economics SKU'!$O$19*Supuestos!$B$45-(B5*Supuestos!$B$12+Supuestos!$B$13)-'Unit Economics SKU'!$V$19-'Unit Economics SKU'!$W$19-'Unit Economics SKU'!$X$19+'Unit Economics SKU'!$Y$19*Supuestos!$B$45</f>
        <v>11.5750911651791</v>
      </c>
      <c r="C6" s="39" t="s">
        <v>329</v>
      </c>
    </row>
    <row r="7" customFormat="false" ht="15" hidden="false" customHeight="false" outlineLevel="0" collapsed="false">
      <c r="A7" s="29" t="s">
        <v>330</v>
      </c>
      <c r="B7" s="47" t="n">
        <f aca="false">Supuestos!$B$10+Supuestos!$B$79+Supuestos!$B$80+Supuestos!$B$106+Supuestos!$B$107+Supuestos!$B$108</f>
        <v>1427</v>
      </c>
      <c r="C7" s="39"/>
    </row>
    <row r="8" customFormat="false" ht="15" hidden="false" customHeight="false" outlineLevel="0" collapsed="false">
      <c r="A8" s="29" t="s">
        <v>331</v>
      </c>
      <c r="B8" s="45" t="n">
        <f aca="false">B6</f>
        <v>11.5750911651791</v>
      </c>
      <c r="C8" s="39" t="s">
        <v>332</v>
      </c>
    </row>
    <row r="9" customFormat="false" ht="15" hidden="false" customHeight="false" outlineLevel="0" collapsed="false">
      <c r="A9" s="29" t="s">
        <v>333</v>
      </c>
      <c r="B9" s="56" t="n">
        <f aca="false">B7/B6</f>
        <v>123.281966391141</v>
      </c>
      <c r="C9" s="39"/>
    </row>
    <row r="10" customFormat="false" ht="15" hidden="false" customHeight="false" outlineLevel="0" collapsed="false">
      <c r="A10" s="29" t="s">
        <v>334</v>
      </c>
      <c r="B10" s="47" t="n">
        <f aca="false">B9*B5</f>
        <v>4684.71472286336</v>
      </c>
      <c r="C10" s="39"/>
    </row>
    <row r="11" customFormat="false" ht="15" hidden="false" customHeight="false" outlineLevel="0" collapsed="false">
      <c r="A11" s="29" t="s">
        <v>335</v>
      </c>
      <c r="B11" s="47" t="n">
        <f aca="false">Supuestos!$B$121</f>
        <v>18000</v>
      </c>
      <c r="C11" s="39"/>
    </row>
    <row r="13" customFormat="false" ht="15" hidden="false" customHeight="false" outlineLevel="0" collapsed="false">
      <c r="A13" s="43" t="s">
        <v>336</v>
      </c>
      <c r="B13" s="43"/>
      <c r="C13" s="43"/>
      <c r="D13" s="43"/>
      <c r="E13" s="43"/>
      <c r="F13" s="43"/>
    </row>
    <row r="14" customFormat="false" ht="15" hidden="false" customHeight="false" outlineLevel="0" collapsed="false">
      <c r="A14" s="2" t="s">
        <v>337</v>
      </c>
    </row>
    <row r="15" customFormat="false" ht="15" hidden="false" customHeight="false" outlineLevel="0" collapsed="false">
      <c r="A15" s="59" t="s">
        <v>338</v>
      </c>
      <c r="B15" s="60" t="n">
        <f aca="false">'PyG 12 meses'!N7</f>
        <v>12899.45088</v>
      </c>
    </row>
    <row r="16" customFormat="false" ht="15" hidden="false" customHeight="false" outlineLevel="0" collapsed="false">
      <c r="A16" s="61" t="s">
        <v>339</v>
      </c>
      <c r="B16" s="62" t="n">
        <v>26</v>
      </c>
      <c r="C16" s="62" t="n">
        <v>29</v>
      </c>
      <c r="D16" s="62" t="n">
        <v>32</v>
      </c>
      <c r="E16" s="62" t="n">
        <v>35</v>
      </c>
      <c r="F16" s="62" t="n">
        <v>38</v>
      </c>
      <c r="G16" s="62" t="n">
        <v>40</v>
      </c>
    </row>
    <row r="17" customFormat="false" ht="15" hidden="false" customHeight="false" outlineLevel="0" collapsed="false">
      <c r="A17" s="44" t="n">
        <v>8</v>
      </c>
      <c r="B17" s="63" t="n">
        <f aca="false">('PyG 12 meses'!N7/8)*((26/(1+Supuestos!$B$7))-('Unit Economics SKU'!$O$19*Supuestos!$B$45+'Unit Economics SKU'!$V$19+'Unit Economics SKU'!$W$19+'Unit Economics SKU'!$X$19-'Unit Economics SKU'!$Y$19*Supuestos!$B$45)-(26*Supuestos!$B$12+Supuestos!$B$13))-'PyG 12 meses'!N7</f>
        <v>-9858.83135024369</v>
      </c>
      <c r="C17" s="63" t="n">
        <f aca="false">('PyG 12 meses'!N7/8)*((29/(1+Supuestos!$B$7))-('Unit Economics SKU'!$O$19*Supuestos!$B$45+'Unit Economics SKU'!$V$19+'Unit Economics SKU'!$W$19+'Unit Economics SKU'!$X$19-'Unit Economics SKU'!$Y$19*Supuestos!$B$45)-(29*Supuestos!$B$12+Supuestos!$B$13))-'PyG 12 meses'!N7</f>
        <v>-5952.97623528436</v>
      </c>
      <c r="D17" s="63" t="n">
        <f aca="false">('PyG 12 meses'!N7/8)*((32/(1+Supuestos!$B$7))-('Unit Economics SKU'!$O$19*Supuestos!$B$45+'Unit Economics SKU'!$V$19+'Unit Economics SKU'!$W$19+'Unit Economics SKU'!$X$19-'Unit Economics SKU'!$Y$19*Supuestos!$B$45)-(32*Supuestos!$B$12+Supuestos!$B$13))-'PyG 12 meses'!N7</f>
        <v>-2047.12112032502</v>
      </c>
      <c r="E17" s="63" t="n">
        <f aca="false">('PyG 12 meses'!N7/8)*((35/(1+Supuestos!$B$7))-('Unit Economics SKU'!$O$19*Supuestos!$B$45+'Unit Economics SKU'!$V$19+'Unit Economics SKU'!$W$19+'Unit Economics SKU'!$X$19-'Unit Economics SKU'!$Y$19*Supuestos!$B$45)-(35*Supuestos!$B$12+Supuestos!$B$13))-'PyG 12 meses'!N7</f>
        <v>1858.73399463432</v>
      </c>
      <c r="F17" s="63" t="n">
        <f aca="false">('PyG 12 meses'!N7/8)*((38/(1+Supuestos!$B$7))-('Unit Economics SKU'!$O$19*Supuestos!$B$45+'Unit Economics SKU'!$V$19+'Unit Economics SKU'!$W$19+'Unit Economics SKU'!$X$19-'Unit Economics SKU'!$Y$19*Supuestos!$B$45)-(38*Supuestos!$B$12+Supuestos!$B$13))-'PyG 12 meses'!N7</f>
        <v>5764.58910959366</v>
      </c>
      <c r="G17" s="63" t="n">
        <f aca="false">('PyG 12 meses'!N7/8)*((40/(1+Supuestos!$B$7))-('Unit Economics SKU'!$O$19*Supuestos!$B$45+'Unit Economics SKU'!$V$19+'Unit Economics SKU'!$W$19+'Unit Economics SKU'!$X$19-'Unit Economics SKU'!$Y$19*Supuestos!$B$45)-(40*Supuestos!$B$12+Supuestos!$B$13))-'PyG 12 meses'!N7</f>
        <v>8368.49251956656</v>
      </c>
    </row>
    <row r="18" customFormat="false" ht="15" hidden="false" customHeight="false" outlineLevel="0" collapsed="false">
      <c r="A18" s="44" t="n">
        <v>10</v>
      </c>
      <c r="B18" s="63" t="n">
        <f aca="false">('PyG 12 meses'!N7/10)*((26/(1+Supuestos!$B$7))-('Unit Economics SKU'!$O$19*Supuestos!$B$45+'Unit Economics SKU'!$V$19+'Unit Economics SKU'!$W$19+'Unit Economics SKU'!$X$19-'Unit Economics SKU'!$Y$19*Supuestos!$B$45)-(26*Supuestos!$B$12+Supuestos!$B$13))-'PyG 12 meses'!N7</f>
        <v>-10466.955256195</v>
      </c>
      <c r="C18" s="63" t="n">
        <f aca="false">('PyG 12 meses'!N7/10)*((29/(1+Supuestos!$B$7))-('Unit Economics SKU'!$O$19*Supuestos!$B$45+'Unit Economics SKU'!$V$19+'Unit Economics SKU'!$W$19+'Unit Economics SKU'!$X$19-'Unit Economics SKU'!$Y$19*Supuestos!$B$45)-(29*Supuestos!$B$12+Supuestos!$B$13))-'PyG 12 meses'!N7</f>
        <v>-7342.27116422748</v>
      </c>
      <c r="D18" s="63" t="n">
        <f aca="false">('PyG 12 meses'!N7/10)*((32/(1+Supuestos!$B$7))-('Unit Economics SKU'!$O$19*Supuestos!$B$45+'Unit Economics SKU'!$V$19+'Unit Economics SKU'!$W$19+'Unit Economics SKU'!$X$19-'Unit Economics SKU'!$Y$19*Supuestos!$B$45)-(32*Supuestos!$B$12+Supuestos!$B$13))-'PyG 12 meses'!N7</f>
        <v>-4217.58707226001</v>
      </c>
      <c r="E18" s="63" t="n">
        <f aca="false">('PyG 12 meses'!N7/10)*((35/(1+Supuestos!$B$7))-('Unit Economics SKU'!$O$19*Supuestos!$B$45+'Unit Economics SKU'!$V$19+'Unit Economics SKU'!$W$19+'Unit Economics SKU'!$X$19-'Unit Economics SKU'!$Y$19*Supuestos!$B$45)-(35*Supuestos!$B$12+Supuestos!$B$13))-'PyG 12 meses'!N7</f>
        <v>-1092.90298029254</v>
      </c>
      <c r="F18" s="63" t="n">
        <f aca="false">('PyG 12 meses'!N7/10)*((38/(1+Supuestos!$B$7))-('Unit Economics SKU'!$O$19*Supuestos!$B$45+'Unit Economics SKU'!$V$19+'Unit Economics SKU'!$W$19+'Unit Economics SKU'!$X$19-'Unit Economics SKU'!$Y$19*Supuestos!$B$45)-(38*Supuestos!$B$12+Supuestos!$B$13))-'PyG 12 meses'!N7</f>
        <v>2031.78111167493</v>
      </c>
      <c r="G18" s="63" t="n">
        <f aca="false">('PyG 12 meses'!N7/10)*((40/(1+Supuestos!$B$7))-('Unit Economics SKU'!$O$19*Supuestos!$B$45+'Unit Economics SKU'!$V$19+'Unit Economics SKU'!$W$19+'Unit Economics SKU'!$X$19-'Unit Economics SKU'!$Y$19*Supuestos!$B$45)-(40*Supuestos!$B$12+Supuestos!$B$13))-'PyG 12 meses'!N7</f>
        <v>4114.90383965325</v>
      </c>
    </row>
    <row r="19" customFormat="false" ht="15" hidden="false" customHeight="false" outlineLevel="0" collapsed="false">
      <c r="A19" s="44" t="n">
        <v>12</v>
      </c>
      <c r="B19" s="63" t="n">
        <f aca="false">('PyG 12 meses'!N7/12)*((26/(1+Supuestos!$B$7))-('Unit Economics SKU'!$O$19*Supuestos!$B$45+'Unit Economics SKU'!$V$19+'Unit Economics SKU'!$W$19+'Unit Economics SKU'!$X$19-'Unit Economics SKU'!$Y$19*Supuestos!$B$45)-(26*Supuestos!$B$12+Supuestos!$B$13))-'PyG 12 meses'!N7</f>
        <v>-10872.3711934958</v>
      </c>
      <c r="C19" s="63" t="n">
        <f aca="false">('PyG 12 meses'!N7/12)*((29/(1+Supuestos!$B$7))-('Unit Economics SKU'!$O$19*Supuestos!$B$45+'Unit Economics SKU'!$V$19+'Unit Economics SKU'!$W$19+'Unit Economics SKU'!$X$19-'Unit Economics SKU'!$Y$19*Supuestos!$B$45)-(29*Supuestos!$B$12+Supuestos!$B$13))-'PyG 12 meses'!N7</f>
        <v>-8268.46778352291</v>
      </c>
      <c r="D19" s="63" t="n">
        <f aca="false">('PyG 12 meses'!N7/12)*((32/(1+Supuestos!$B$7))-('Unit Economics SKU'!$O$19*Supuestos!$B$45+'Unit Economics SKU'!$V$19+'Unit Economics SKU'!$W$19+'Unit Economics SKU'!$X$19-'Unit Economics SKU'!$Y$19*Supuestos!$B$45)-(32*Supuestos!$B$12+Supuestos!$B$13))-'PyG 12 meses'!N7</f>
        <v>-5664.56437355001</v>
      </c>
      <c r="E19" s="63" t="n">
        <f aca="false">('PyG 12 meses'!N7/12)*((35/(1+Supuestos!$B$7))-('Unit Economics SKU'!$O$19*Supuestos!$B$45+'Unit Economics SKU'!$V$19+'Unit Economics SKU'!$W$19+'Unit Economics SKU'!$X$19-'Unit Economics SKU'!$Y$19*Supuestos!$B$45)-(35*Supuestos!$B$12+Supuestos!$B$13))-'PyG 12 meses'!N7</f>
        <v>-3060.66096357712</v>
      </c>
      <c r="F19" s="63" t="n">
        <f aca="false">('PyG 12 meses'!N7/12)*((38/(1+Supuestos!$B$7))-('Unit Economics SKU'!$O$19*Supuestos!$B$45+'Unit Economics SKU'!$V$19+'Unit Economics SKU'!$W$19+'Unit Economics SKU'!$X$19-'Unit Economics SKU'!$Y$19*Supuestos!$B$45)-(38*Supuestos!$B$12+Supuestos!$B$13))-'PyG 12 meses'!N7</f>
        <v>-456.757553604228</v>
      </c>
      <c r="G19" s="63" t="n">
        <f aca="false">('PyG 12 meses'!N7/12)*((40/(1+Supuestos!$B$7))-('Unit Economics SKU'!$O$19*Supuestos!$B$45+'Unit Economics SKU'!$V$19+'Unit Economics SKU'!$W$19+'Unit Economics SKU'!$X$19-'Unit Economics SKU'!$Y$19*Supuestos!$B$45)-(40*Supuestos!$B$12+Supuestos!$B$13))-'PyG 12 meses'!N7</f>
        <v>1279.17805304437</v>
      </c>
    </row>
    <row r="20" customFormat="false" ht="15" hidden="false" customHeight="false" outlineLevel="0" collapsed="false">
      <c r="A20" s="44" t="n">
        <v>14</v>
      </c>
      <c r="B20" s="63" t="n">
        <f aca="false">('PyG 12 meses'!N7/14)*((26/(1+Supuestos!$B$7))-('Unit Economics SKU'!$O$19*Supuestos!$B$45+'Unit Economics SKU'!$V$19+'Unit Economics SKU'!$W$19+'Unit Economics SKU'!$X$19-'Unit Economics SKU'!$Y$19*Supuestos!$B$45)-(26*Supuestos!$B$12+Supuestos!$B$13))-'PyG 12 meses'!N7</f>
        <v>-11161.9540058535</v>
      </c>
      <c r="C20" s="63" t="n">
        <f aca="false">('PyG 12 meses'!N7/14)*((29/(1+Supuestos!$B$7))-('Unit Economics SKU'!$O$19*Supuestos!$B$45+'Unit Economics SKU'!$V$19+'Unit Economics SKU'!$W$19+'Unit Economics SKU'!$X$19-'Unit Economics SKU'!$Y$19*Supuestos!$B$45)-(29*Supuestos!$B$12+Supuestos!$B$13))-'PyG 12 meses'!N7</f>
        <v>-8930.03679730535</v>
      </c>
      <c r="D20" s="63" t="n">
        <f aca="false">('PyG 12 meses'!N7/14)*((32/(1+Supuestos!$B$7))-('Unit Economics SKU'!$O$19*Supuestos!$B$45+'Unit Economics SKU'!$V$19+'Unit Economics SKU'!$W$19+'Unit Economics SKU'!$X$19-'Unit Economics SKU'!$Y$19*Supuestos!$B$45)-(32*Supuestos!$B$12+Supuestos!$B$13))-'PyG 12 meses'!N7</f>
        <v>-6698.11958875715</v>
      </c>
      <c r="E20" s="63" t="n">
        <f aca="false">('PyG 12 meses'!N7/14)*((35/(1+Supuestos!$B$7))-('Unit Economics SKU'!$O$19*Supuestos!$B$45+'Unit Economics SKU'!$V$19+'Unit Economics SKU'!$W$19+'Unit Economics SKU'!$X$19-'Unit Economics SKU'!$Y$19*Supuestos!$B$45)-(35*Supuestos!$B$12+Supuestos!$B$13))-'PyG 12 meses'!N7</f>
        <v>-4466.20238020896</v>
      </c>
      <c r="F20" s="63" t="n">
        <f aca="false">('PyG 12 meses'!N7/14)*((38/(1+Supuestos!$B$7))-('Unit Economics SKU'!$O$19*Supuestos!$B$45+'Unit Economics SKU'!$V$19+'Unit Economics SKU'!$W$19+'Unit Economics SKU'!$X$19-'Unit Economics SKU'!$Y$19*Supuestos!$B$45)-(38*Supuestos!$B$12+Supuestos!$B$13))-'PyG 12 meses'!N7</f>
        <v>-2234.28517166077</v>
      </c>
      <c r="G20" s="63" t="n">
        <f aca="false">('PyG 12 meses'!N7/14)*((40/(1+Supuestos!$B$7))-('Unit Economics SKU'!$O$19*Supuestos!$B$45+'Unit Economics SKU'!$V$19+'Unit Economics SKU'!$W$19+'Unit Economics SKU'!$X$19-'Unit Economics SKU'!$Y$19*Supuestos!$B$45)-(40*Supuestos!$B$12+Supuestos!$B$13))-'PyG 12 meses'!N7</f>
        <v>-746.340365961967</v>
      </c>
    </row>
    <row r="21" customFormat="false" ht="15" hidden="false" customHeight="false" outlineLevel="0" collapsed="false">
      <c r="A21" s="44" t="n">
        <v>16</v>
      </c>
      <c r="B21" s="63" t="n">
        <f aca="false">('PyG 12 meses'!N7/16)*((26/(1+Supuestos!$B$7))-('Unit Economics SKU'!$O$19*Supuestos!$B$45+'Unit Economics SKU'!$V$19+'Unit Economics SKU'!$W$19+'Unit Economics SKU'!$X$19-'Unit Economics SKU'!$Y$19*Supuestos!$B$45)-(26*Supuestos!$B$12+Supuestos!$B$13))-'PyG 12 meses'!N7</f>
        <v>-11379.1411151218</v>
      </c>
      <c r="C21" s="63" t="n">
        <f aca="false">('PyG 12 meses'!N7/16)*((29/(1+Supuestos!$B$7))-('Unit Economics SKU'!$O$19*Supuestos!$B$45+'Unit Economics SKU'!$V$19+'Unit Economics SKU'!$W$19+'Unit Economics SKU'!$X$19-'Unit Economics SKU'!$Y$19*Supuestos!$B$45)-(29*Supuestos!$B$12+Supuestos!$B$13))-'PyG 12 meses'!N7</f>
        <v>-9426.21355764218</v>
      </c>
      <c r="D21" s="63" t="n">
        <f aca="false">('PyG 12 meses'!N7/16)*((32/(1+Supuestos!$B$7))-('Unit Economics SKU'!$O$19*Supuestos!$B$45+'Unit Economics SKU'!$V$19+'Unit Economics SKU'!$W$19+'Unit Economics SKU'!$X$19-'Unit Economics SKU'!$Y$19*Supuestos!$B$45)-(32*Supuestos!$B$12+Supuestos!$B$13))-'PyG 12 meses'!N7</f>
        <v>-7473.28600016251</v>
      </c>
      <c r="E21" s="63" t="n">
        <f aca="false">('PyG 12 meses'!N7/16)*((35/(1+Supuestos!$B$7))-('Unit Economics SKU'!$O$19*Supuestos!$B$45+'Unit Economics SKU'!$V$19+'Unit Economics SKU'!$W$19+'Unit Economics SKU'!$X$19-'Unit Economics SKU'!$Y$19*Supuestos!$B$45)-(35*Supuestos!$B$12+Supuestos!$B$13))-'PyG 12 meses'!N7</f>
        <v>-5520.35844268284</v>
      </c>
      <c r="F21" s="63" t="n">
        <f aca="false">('PyG 12 meses'!N7/16)*((38/(1+Supuestos!$B$7))-('Unit Economics SKU'!$O$19*Supuestos!$B$45+'Unit Economics SKU'!$V$19+'Unit Economics SKU'!$W$19+'Unit Economics SKU'!$X$19-'Unit Economics SKU'!$Y$19*Supuestos!$B$45)-(38*Supuestos!$B$12+Supuestos!$B$13))-'PyG 12 meses'!N7</f>
        <v>-3567.43088520317</v>
      </c>
      <c r="G21" s="63" t="n">
        <f aca="false">('PyG 12 meses'!N7/16)*((40/(1+Supuestos!$B$7))-('Unit Economics SKU'!$O$19*Supuestos!$B$45+'Unit Economics SKU'!$V$19+'Unit Economics SKU'!$W$19+'Unit Economics SKU'!$X$19-'Unit Economics SKU'!$Y$19*Supuestos!$B$45)-(40*Supuestos!$B$12+Supuestos!$B$13))-'PyG 12 meses'!N7</f>
        <v>-2265.47918021672</v>
      </c>
    </row>
    <row r="22" customFormat="false" ht="15" hidden="false" customHeight="false" outlineLevel="0" collapsed="false">
      <c r="A22" s="44" t="n">
        <v>18</v>
      </c>
      <c r="B22" s="63" t="n">
        <f aca="false">('PyG 12 meses'!N7/18)*((26/(1+Supuestos!$B$7))-('Unit Economics SKU'!$O$19*Supuestos!$B$45+'Unit Economics SKU'!$V$19+'Unit Economics SKU'!$W$19+'Unit Economics SKU'!$X$19-'Unit Economics SKU'!$Y$19*Supuestos!$B$45)-(26*Supuestos!$B$12+Supuestos!$B$13))-'PyG 12 meses'!N7</f>
        <v>-11548.0644223305</v>
      </c>
      <c r="C22" s="63" t="n">
        <f aca="false">('PyG 12 meses'!N7/18)*((29/(1+Supuestos!$B$7))-('Unit Economics SKU'!$O$19*Supuestos!$B$45+'Unit Economics SKU'!$V$19+'Unit Economics SKU'!$W$19+'Unit Economics SKU'!$X$19-'Unit Economics SKU'!$Y$19*Supuestos!$B$45)-(29*Supuestos!$B$12+Supuestos!$B$13))-'PyG 12 meses'!N7</f>
        <v>-9812.12881568194</v>
      </c>
      <c r="D22" s="63" t="n">
        <f aca="false">('PyG 12 meses'!N7/18)*((32/(1+Supuestos!$B$7))-('Unit Economics SKU'!$O$19*Supuestos!$B$45+'Unit Economics SKU'!$V$19+'Unit Economics SKU'!$W$19+'Unit Economics SKU'!$X$19-'Unit Economics SKU'!$Y$19*Supuestos!$B$45)-(32*Supuestos!$B$12+Supuestos!$B$13))-'PyG 12 meses'!N7</f>
        <v>-8076.19320903334</v>
      </c>
      <c r="E22" s="63" t="n">
        <f aca="false">('PyG 12 meses'!N7/18)*((35/(1+Supuestos!$B$7))-('Unit Economics SKU'!$O$19*Supuestos!$B$45+'Unit Economics SKU'!$V$19+'Unit Economics SKU'!$W$19+'Unit Economics SKU'!$X$19-'Unit Economics SKU'!$Y$19*Supuestos!$B$45)-(35*Supuestos!$B$12+Supuestos!$B$13))-'PyG 12 meses'!N7</f>
        <v>-6340.25760238475</v>
      </c>
      <c r="F22" s="63" t="n">
        <f aca="false">('PyG 12 meses'!N7/18)*((38/(1+Supuestos!$B$7))-('Unit Economics SKU'!$O$19*Supuestos!$B$45+'Unit Economics SKU'!$V$19+'Unit Economics SKU'!$W$19+'Unit Economics SKU'!$X$19-'Unit Economics SKU'!$Y$19*Supuestos!$B$45)-(38*Supuestos!$B$12+Supuestos!$B$13))-'PyG 12 meses'!N7</f>
        <v>-4604.32199573615</v>
      </c>
      <c r="G22" s="63" t="n">
        <f aca="false">('PyG 12 meses'!N7/18)*((40/(1+Supuestos!$B$7))-('Unit Economics SKU'!$O$19*Supuestos!$B$45+'Unit Economics SKU'!$V$19+'Unit Economics SKU'!$W$19+'Unit Economics SKU'!$X$19-'Unit Economics SKU'!$Y$19*Supuestos!$B$45)-(40*Supuestos!$B$12+Supuestos!$B$13))-'PyG 12 meses'!N7</f>
        <v>-3447.03159130375</v>
      </c>
    </row>
    <row r="23" customFormat="false" ht="15" hidden="false" customHeight="false" outlineLevel="0" collapsed="false">
      <c r="A23" s="44" t="n">
        <v>20</v>
      </c>
      <c r="B23" s="63" t="n">
        <f aca="false">('PyG 12 meses'!N7/20)*((26/(1+Supuestos!$B$7))-('Unit Economics SKU'!$O$19*Supuestos!$B$45+'Unit Economics SKU'!$V$19+'Unit Economics SKU'!$W$19+'Unit Economics SKU'!$X$19-'Unit Economics SKU'!$Y$19*Supuestos!$B$45)-(26*Supuestos!$B$12+Supuestos!$B$13))-'PyG 12 meses'!N7</f>
        <v>-11683.2030680975</v>
      </c>
      <c r="C23" s="63" t="n">
        <f aca="false">('PyG 12 meses'!N7/20)*((29/(1+Supuestos!$B$7))-('Unit Economics SKU'!$O$19*Supuestos!$B$45+'Unit Economics SKU'!$V$19+'Unit Economics SKU'!$W$19+'Unit Economics SKU'!$X$19-'Unit Economics SKU'!$Y$19*Supuestos!$B$45)-(29*Supuestos!$B$12+Supuestos!$B$13))-'PyG 12 meses'!N7</f>
        <v>-10120.8610221137</v>
      </c>
      <c r="D23" s="63" t="n">
        <f aca="false">('PyG 12 meses'!N7/20)*((32/(1+Supuestos!$B$7))-('Unit Economics SKU'!$O$19*Supuestos!$B$45+'Unit Economics SKU'!$V$19+'Unit Economics SKU'!$W$19+'Unit Economics SKU'!$X$19-'Unit Economics SKU'!$Y$19*Supuestos!$B$45)-(32*Supuestos!$B$12+Supuestos!$B$13))-'PyG 12 meses'!N7</f>
        <v>-8558.51897613001</v>
      </c>
      <c r="E23" s="63" t="n">
        <f aca="false">('PyG 12 meses'!N7/20)*((35/(1+Supuestos!$B$7))-('Unit Economics SKU'!$O$19*Supuestos!$B$45+'Unit Economics SKU'!$V$19+'Unit Economics SKU'!$W$19+'Unit Economics SKU'!$X$19-'Unit Economics SKU'!$Y$19*Supuestos!$B$45)-(35*Supuestos!$B$12+Supuestos!$B$13))-'PyG 12 meses'!N7</f>
        <v>-6996.17693014627</v>
      </c>
      <c r="F23" s="63" t="n">
        <f aca="false">('PyG 12 meses'!N7/20)*((38/(1+Supuestos!$B$7))-('Unit Economics SKU'!$O$19*Supuestos!$B$45+'Unit Economics SKU'!$V$19+'Unit Economics SKU'!$W$19+'Unit Economics SKU'!$X$19-'Unit Economics SKU'!$Y$19*Supuestos!$B$45)-(38*Supuestos!$B$12+Supuestos!$B$13))-'PyG 12 meses'!N7</f>
        <v>-5433.83488416254</v>
      </c>
      <c r="G23" s="63" t="n">
        <f aca="false">('PyG 12 meses'!N7/20)*((40/(1+Supuestos!$B$7))-('Unit Economics SKU'!$O$19*Supuestos!$B$45+'Unit Economics SKU'!$V$19+'Unit Economics SKU'!$W$19+'Unit Economics SKU'!$X$19-'Unit Economics SKU'!$Y$19*Supuestos!$B$45)-(40*Supuestos!$B$12+Supuestos!$B$13))-'PyG 12 meses'!N7</f>
        <v>-4392.27352017338</v>
      </c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340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341</v>
      </c>
    </row>
    <row r="4" customFormat="false" ht="15" hidden="false" customHeight="false" outlineLevel="0" collapsed="false">
      <c r="A4" s="28" t="s">
        <v>2</v>
      </c>
      <c r="B4" s="28" t="s">
        <v>342</v>
      </c>
      <c r="C4" s="28" t="s">
        <v>343</v>
      </c>
      <c r="D4" s="28" t="s">
        <v>344</v>
      </c>
      <c r="E4" s="28" t="s">
        <v>325</v>
      </c>
    </row>
    <row r="5" customFormat="false" ht="15" hidden="false" customHeight="false" outlineLevel="0" collapsed="false">
      <c r="A5" s="29" t="s">
        <v>345</v>
      </c>
      <c r="B5" s="31" t="n">
        <v>22</v>
      </c>
      <c r="C5" s="31" t="n">
        <v>18</v>
      </c>
      <c r="D5" s="31" t="n">
        <v>15</v>
      </c>
      <c r="E5" s="39" t="s">
        <v>346</v>
      </c>
    </row>
    <row r="6" customFormat="false" ht="15" hidden="false" customHeight="false" outlineLevel="0" collapsed="false">
      <c r="A6" s="29" t="s">
        <v>347</v>
      </c>
      <c r="B6" s="31" t="n">
        <v>15</v>
      </c>
      <c r="C6" s="31" t="n">
        <v>11</v>
      </c>
      <c r="D6" s="31" t="n">
        <v>9</v>
      </c>
      <c r="E6" s="39" t="s">
        <v>348</v>
      </c>
    </row>
    <row r="7" customFormat="false" ht="15" hidden="false" customHeight="false" outlineLevel="0" collapsed="false">
      <c r="A7" s="29" t="s">
        <v>349</v>
      </c>
      <c r="B7" s="64" t="n">
        <v>0.92</v>
      </c>
      <c r="C7" s="64" t="n">
        <v>1</v>
      </c>
      <c r="D7" s="64" t="n">
        <v>1.1</v>
      </c>
      <c r="E7" s="39" t="s">
        <v>350</v>
      </c>
    </row>
    <row r="8" customFormat="false" ht="15" hidden="false" customHeight="false" outlineLevel="0" collapsed="false">
      <c r="A8" s="29" t="s">
        <v>351</v>
      </c>
      <c r="B8" s="52" t="n">
        <f aca="false">Supuestos!$B$49</f>
        <v>0.08</v>
      </c>
      <c r="C8" s="52" t="n">
        <f aca="false">Supuestos!$B$48</f>
        <v>0.2</v>
      </c>
      <c r="D8" s="52" t="n">
        <f aca="false">Supuestos!$B$50</f>
        <v>0.3</v>
      </c>
      <c r="E8" s="39" t="s">
        <v>352</v>
      </c>
    </row>
    <row r="9" customFormat="false" ht="15" hidden="false" customHeight="false" outlineLevel="0" collapsed="false">
      <c r="A9" s="29" t="s">
        <v>353</v>
      </c>
      <c r="B9" s="47" t="n">
        <f aca="false">Supuestos!$B$51</f>
        <v>9000</v>
      </c>
      <c r="C9" s="47" t="n">
        <f aca="false">Supuestos!$B$52</f>
        <v>18000</v>
      </c>
      <c r="D9" s="47" t="n">
        <f aca="false">Supuestos!$B$53</f>
        <v>30000</v>
      </c>
      <c r="E9" s="39" t="s">
        <v>352</v>
      </c>
    </row>
    <row r="10" customFormat="false" ht="15" hidden="false" customHeight="false" outlineLevel="0" collapsed="false">
      <c r="A10" s="29" t="s">
        <v>354</v>
      </c>
      <c r="B10" s="38" t="n">
        <v>0.1</v>
      </c>
      <c r="C10" s="38" t="n">
        <v>0.15</v>
      </c>
      <c r="D10" s="38" t="n">
        <v>0.2</v>
      </c>
      <c r="E10" s="39" t="s">
        <v>355</v>
      </c>
    </row>
    <row r="11" customFormat="false" ht="15" hidden="false" customHeight="false" outlineLevel="0" collapsed="false">
      <c r="A11" s="29" t="s">
        <v>356</v>
      </c>
      <c r="B11" s="38" t="n">
        <v>0.2</v>
      </c>
      <c r="C11" s="38" t="n">
        <v>0.25</v>
      </c>
      <c r="D11" s="38" t="n">
        <v>0.3</v>
      </c>
      <c r="E11" s="39" t="s">
        <v>357</v>
      </c>
    </row>
    <row r="13" customFormat="false" ht="15" hidden="false" customHeight="false" outlineLevel="0" collapsed="false">
      <c r="A13" s="43" t="s">
        <v>358</v>
      </c>
      <c r="B13" s="43"/>
      <c r="C13" s="43"/>
      <c r="D13" s="43"/>
      <c r="E13" s="43"/>
    </row>
    <row r="14" customFormat="false" ht="15" hidden="false" customHeight="false" outlineLevel="0" collapsed="false">
      <c r="A14" s="28" t="s">
        <v>359</v>
      </c>
      <c r="B14" s="28" t="s">
        <v>3</v>
      </c>
      <c r="C14" s="28"/>
      <c r="D14" s="28"/>
      <c r="E14" s="28"/>
    </row>
    <row r="15" customFormat="false" ht="15" hidden="false" customHeight="false" outlineLevel="0" collapsed="false">
      <c r="A15" s="29" t="s">
        <v>360</v>
      </c>
      <c r="B15" s="65" t="n">
        <f aca="false">Supuestos!$B$115</f>
        <v>2</v>
      </c>
      <c r="C15" s="66"/>
      <c r="D15" s="66"/>
      <c r="E15" s="66"/>
    </row>
    <row r="16" customFormat="false" ht="15" hidden="false" customHeight="false" outlineLevel="0" collapsed="false">
      <c r="A16" s="29" t="s">
        <v>361</v>
      </c>
      <c r="B16" s="67" t="n">
        <f aca="false">'PyG 12 meses'!N16</f>
        <v>54309.9560566047</v>
      </c>
      <c r="C16" s="66"/>
      <c r="D16" s="66"/>
      <c r="E16" s="66"/>
    </row>
    <row r="17" customFormat="false" ht="15" hidden="false" customHeight="false" outlineLevel="0" collapsed="false">
      <c r="A17" s="29" t="s">
        <v>362</v>
      </c>
      <c r="B17" s="67" t="n">
        <f aca="false">'PyG 12 meses'!N39</f>
        <v>4300.06213157875</v>
      </c>
      <c r="C17" s="66"/>
      <c r="D17" s="66"/>
      <c r="E17" s="66"/>
    </row>
    <row r="18" customFormat="false" ht="15" hidden="false" customHeight="false" outlineLevel="0" collapsed="false">
      <c r="A18" s="29" t="s">
        <v>363</v>
      </c>
      <c r="B18" s="67" t="n">
        <f aca="false">'PyG 12 meses'!N41</f>
        <v>5507.13400602947</v>
      </c>
      <c r="C18" s="66"/>
      <c r="D18" s="66"/>
      <c r="E18" s="66"/>
    </row>
    <row r="19" customFormat="false" ht="15" hidden="false" customHeight="false" outlineLevel="0" collapsed="false">
      <c r="A19" s="29" t="s">
        <v>364</v>
      </c>
      <c r="B19" s="67" t="n">
        <f aca="false">Caja!O35</f>
        <v>1847.41518241711</v>
      </c>
      <c r="C19" s="66"/>
      <c r="D19" s="66"/>
      <c r="E19" s="66"/>
    </row>
    <row r="20" customFormat="false" ht="15" hidden="false" customHeight="false" outlineLevel="0" collapsed="false">
      <c r="A20" s="29" t="s">
        <v>365</v>
      </c>
      <c r="B20" s="67" t="n">
        <f aca="false">Caja!B37</f>
        <v>-9904.17599130283</v>
      </c>
      <c r="C20" s="66"/>
      <c r="D20" s="66"/>
      <c r="E20" s="66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2026-09-07T02:51:12Z</dcterms:created>
  <dc:creator>openpyxl</dc:creator>
  <dc:description/>
  <dc:language>en-US</dc:language>
  <cp:lastModifiedBy/>
  <dcterms:modified xsi:type="dcterms:W3CDTF">2026-09-07T02:51:12Z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