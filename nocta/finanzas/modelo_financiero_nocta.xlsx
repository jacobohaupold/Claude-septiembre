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puestos" sheetId="1" state="visible" r:id="rId1"/>
    <sheet name="Unit Economics SKU" sheetId="2" state="visible" r:id="rId2"/>
    <sheet name="PyG 12 meses" sheetId="3" state="visible" r:id="rId3"/>
    <sheet name="Caja" sheetId="4" state="visible" r:id="rId4"/>
    <sheet name="Punto muerto" sheetId="5" state="visible" r:id="rId5"/>
    <sheet name="Escenar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000"/>
    <numFmt numFmtId="165" formatCode="0.0%"/>
    <numFmt numFmtId="166" formatCode="#,##0.00&quot; €&quot;"/>
    <numFmt numFmtId="167" formatCode="0.00&quot;x&quot;"/>
    <numFmt numFmtId="168" formatCode="#,##0&quot; €&quot;"/>
    <numFmt numFmtId="169" formatCode="&quot;$&quot;#,##0.00"/>
    <numFmt numFmtId="170" formatCode="$#,##0.0000"/>
    <numFmt numFmtId="171" formatCode="#,##0.0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b val="1"/>
      <color rgb="001F3864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3" fillId="2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164" fontId="6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center"/>
    </xf>
    <xf numFmtId="166" fontId="6" fillId="0" borderId="1" applyAlignment="1" pivotButton="0" quotePrefix="0" xfId="0">
      <alignment vertical="center"/>
    </xf>
    <xf numFmtId="10" fontId="6" fillId="0" borderId="1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2" fontId="6" fillId="0" borderId="1" applyAlignment="1" pivotButton="0" quotePrefix="0" xfId="0">
      <alignment vertical="center"/>
    </xf>
    <xf numFmtId="167" fontId="6" fillId="0" borderId="1" applyAlignment="1" pivotButton="0" quotePrefix="0" xfId="0">
      <alignment vertical="center"/>
    </xf>
    <xf numFmtId="168" fontId="6" fillId="0" borderId="1" applyAlignment="1" pivotButton="0" quotePrefix="0" xfId="0">
      <alignment vertical="center"/>
    </xf>
    <xf numFmtId="169" fontId="6" fillId="0" borderId="1" applyAlignment="1" pivotButton="0" quotePrefix="0" xfId="0">
      <alignment vertical="center"/>
    </xf>
    <xf numFmtId="169" fontId="5" fillId="0" borderId="1" applyAlignment="1" pivotButton="0" quotePrefix="0" xfId="0">
      <alignment vertical="center"/>
    </xf>
    <xf numFmtId="3" fontId="6" fillId="0" borderId="1" applyAlignment="1" pivotButton="0" quotePrefix="0" xfId="0">
      <alignment vertical="center"/>
    </xf>
    <xf numFmtId="170" fontId="6" fillId="0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" fontId="6" fillId="0" borderId="1" applyAlignment="1" pivotButton="0" quotePrefix="0" xfId="0">
      <alignment vertical="center"/>
    </xf>
    <xf numFmtId="1" fontId="6" fillId="3" borderId="1" applyAlignment="1" pivotButton="0" quotePrefix="0" xfId="0">
      <alignment vertical="center"/>
    </xf>
    <xf numFmtId="167" fontId="5" fillId="0" borderId="1" applyAlignment="1" pivotButton="0" quotePrefix="0" xfId="0">
      <alignment vertical="center"/>
    </xf>
    <xf numFmtId="168" fontId="5" fillId="0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6" fontId="0" fillId="0" borderId="1" pivotButton="0" quotePrefix="0" xfId="0"/>
    <xf numFmtId="169" fontId="6" fillId="0" borderId="1" pivotButton="0" quotePrefix="0" xfId="0"/>
    <xf numFmtId="169" fontId="0" fillId="0" borderId="1" pivotButton="0" quotePrefix="0" xfId="0"/>
    <xf numFmtId="169" fontId="7" fillId="0" borderId="1" pivotButton="0" quotePrefix="0" xfId="0"/>
    <xf numFmtId="166" fontId="7" fillId="0" borderId="1" pivotButton="0" quotePrefix="0" xfId="0"/>
    <xf numFmtId="165" fontId="0" fillId="0" borderId="1" pivotButton="0" quotePrefix="0" xfId="0"/>
    <xf numFmtId="165" fontId="6" fillId="0" borderId="1" pivotButton="0" quotePrefix="0" xfId="0"/>
    <xf numFmtId="0" fontId="2" fillId="0" borderId="1" pivotButton="0" quotePrefix="0" xfId="0"/>
    <xf numFmtId="0" fontId="8" fillId="4" borderId="0" pivotButton="0" quotePrefix="0" xfId="0"/>
    <xf numFmtId="166" fontId="8" fillId="4" borderId="1" pivotButton="0" quotePrefix="0" xfId="0"/>
    <xf numFmtId="165" fontId="8" fillId="4" borderId="1" pivotButton="0" quotePrefix="0" xfId="0"/>
    <xf numFmtId="0" fontId="4" fillId="0" borderId="0" pivotButton="0" quotePrefix="0" xfId="0"/>
    <xf numFmtId="166" fontId="8" fillId="0" borderId="1" pivotButton="0" quotePrefix="0" xfId="0"/>
    <xf numFmtId="166" fontId="5" fillId="0" borderId="1" pivotButton="0" quotePrefix="0" xfId="0"/>
    <xf numFmtId="168" fontId="8" fillId="0" borderId="1" pivotButton="0" quotePrefix="0" xfId="0"/>
    <xf numFmtId="168" fontId="5" fillId="0" borderId="1" pivotButton="0" quotePrefix="0" xfId="0"/>
    <xf numFmtId="171" fontId="8" fillId="0" borderId="1" pivotButton="0" quotePrefix="0" xfId="0"/>
    <xf numFmtId="171" fontId="5" fillId="0" borderId="1" pivotButton="0" quotePrefix="0" xfId="0"/>
    <xf numFmtId="0" fontId="8" fillId="0" borderId="1" pivotButton="0" quotePrefix="0" xfId="0"/>
    <xf numFmtId="165" fontId="8" fillId="0" borderId="1" pivotButton="0" quotePrefix="0" xfId="0"/>
    <xf numFmtId="165" fontId="5" fillId="0" borderId="1" pivotButton="0" quotePrefix="0" xfId="0"/>
    <xf numFmtId="167" fontId="8" fillId="0" borderId="1" pivotButton="0" quotePrefix="0" xfId="0"/>
    <xf numFmtId="167" fontId="5" fillId="0" borderId="1" pivotButton="0" quotePrefix="0" xfId="0"/>
    <xf numFmtId="3" fontId="8" fillId="0" borderId="1" pivotButton="0" quotePrefix="0" xfId="0"/>
    <xf numFmtId="3" fontId="5" fillId="0" borderId="1" pivotButton="0" quotePrefix="0" xfId="0"/>
    <xf numFmtId="0" fontId="8" fillId="0" borderId="0" pivotButton="0" quotePrefix="0" xfId="0"/>
    <xf numFmtId="168" fontId="8" fillId="0" borderId="0" pivotButton="0" quotePrefix="0" xfId="0"/>
    <xf numFmtId="0" fontId="5" fillId="0" borderId="0" pivotButton="0" quotePrefix="0" xfId="0"/>
    <xf numFmtId="168" fontId="0" fillId="0" borderId="0" pivotButton="0" quotePrefix="0" xfId="0"/>
    <xf numFmtId="0" fontId="3" fillId="2" borderId="1" pivotButton="0" quotePrefix="0" xfId="0"/>
    <xf numFmtId="166" fontId="3" fillId="2" borderId="1" applyAlignment="1" pivotButton="0" quotePrefix="0" xfId="0">
      <alignment horizontal="center"/>
    </xf>
    <xf numFmtId="168" fontId="0" fillId="0" borderId="1" pivotButton="0" quotePrefix="0" xfId="0"/>
    <xf numFmtId="167" fontId="6" fillId="0" borderId="1" pivotButton="0" quotePrefix="0" xfId="0"/>
    <xf numFmtId="1" fontId="7" fillId="0" borderId="1" pivotButton="0" quotePrefix="0" xfId="0"/>
    <xf numFmtId="0" fontId="0" fillId="0" borderId="1" pivotButton="0" quotePrefix="0" xfId="0"/>
    <xf numFmtId="168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NOCTA Finanzas</author>
  </authors>
  <commentList>
    <comment ref="F5" authorId="0" shapeId="0">
      <text>
        <t>Basado en el dato del encargo: 0,30-0,60 $/parche de nariz (Corea) y 0,15-0,21 $ (China), a nivel de pack de 8 uds.</t>
      </text>
    </comment>
    <comment ref="M5" authorId="0" shapeId="0">
      <text>
        <t>Troquel amortizado: 1.000 $ / 3.000 uds = 0,333 $/parche individual, multiplicado por las unidades del pack. Los líquidos no llevan troquel.</t>
      </text>
    </comment>
    <comment ref="O5" authorId="0" shapeId="0">
      <text>
        <t>Coste desembarcado = (coste fábrica medio + packaging + troquel)*FX*(1+arancel) + flete. Arancel Corea 0% (acuerdo UE-Corea), China 6,5%.</t>
      </text>
    </comment>
    <comment ref="V5" authorId="0" shapeId="0">
      <text>
        <t>Envío a cargo de la empresa solo si el PVP del pedido supera el umbral de envío gratis (30€); si no, se asume que el cliente paga un gasto de envío aparte.</t>
      </text>
    </comment>
    <comment ref="Z5" authorId="0" shapeId="0">
      <text>
        <t>Margen de contribución = margen bruto - pasarela de pago - envío - pick&amp;pack - packaging de envío + impacto esperado de devoluciones (-3% del margen bruto).</t>
      </text>
    </comment>
    <comment ref="AD5" authorId="0" shapeId="0">
      <text>
        <t>Mix de ventas estimado (% de pedidos por SKU/bundle). Inputs editables; deben sumar 100%. Alimenta la media ponderada usada en PyG y Punto muerto.</t>
      </text>
    </comment>
    <comment ref="F6" authorId="0" shapeId="0">
      <text>
        <t>Estimación de investigación de proveedores: parche de puntos vendido como hoja de 36 puntos, coste 0,50-0,75 $ (Corea) / 0,90-1,30 $ (China) por pack completo.</t>
      </text>
    </comment>
    <comment ref="O19" authorId="0" shapeId="0">
      <text>
        <t>Coste desembarcado medio ponderado por el mix de ventas (fuente: sourcing Corea, arancel 0%). Usado como COGS/pedido en la hoja PyG 12 meses.</t>
      </text>
    </comment>
  </commentList>
</comments>
</file>

<file path=xl/comments/comment2.xml><?xml version="1.0" encoding="utf-8"?>
<comments xmlns="http://schemas.openxmlformats.org/spreadsheetml/2006/main">
  <authors>
    <author>NOCTA Finanzas</author>
  </authors>
  <commentList>
    <comment ref="C7" authorId="0" shapeId="0">
      <text>
        <t>Inversión en Ads: mes 1 = Supuestos!ads_m1. Meses siguientes: si el ROAS del mes anterior &gt;= ROAS objetivo, crece al ritmo del escenario activo; si no, se mantiene plana. Siempre limitada por el techo de Ads del escenario activo.</t>
      </text>
    </comment>
    <comment ref="C12" authorId="0" shapeId="0">
      <text>
        <t>Recompra no-suscriptores: se asume ventana de 90 días -&gt; los pedidos nuevos de hace 3 meses generan recompra al ratio 'repetición 90 días' del escenario activo, excluyendo a clientes que ya son suscriptores.</t>
      </text>
    </comment>
    <comment ref="C18" authorId="0" shapeId="0">
      <text>
        <t>Costes variables por pedido = media ponderada por mix de ventas de la hoja 'Unit Economics SKU' (fila de mix), sobre coste desembarcado vía Corea (arancel 0%).</t>
      </text>
    </comment>
  </commentList>
</comments>
</file>

<file path=xl/comments/comment3.xml><?xml version="1.0" encoding="utf-8"?>
<comments xmlns="http://schemas.openxmlformats.org/spreadsheetml/2006/main">
  <authors>
    <author>NOCTA Finanzas</author>
  </authors>
  <commentList>
    <comment ref="C20" authorId="0" shapeId="0">
      <text>
        <t>Reposición: si la cobertura de stock cae por debajo del umbral (60 días), se genera un pedido para alcanzar 90 días de cobertura, pagado 30% al generarse y 70% el mes siguiente (llegada de mercancía).</t>
      </text>
    </comment>
    <comment ref="C25" authorId="0" shapeId="0">
      <text>
        <t>Cobro Stripe/Shopify Payments D+2: se asume que el (2/30) de las ventas del mes se cobra el mes siguiente; el resto, el mismo mes.</t>
      </text>
    </comment>
    <comment ref="C29" authorId="0" shapeId="0">
      <text>
        <t>IVA simplificado: IVA repercutido en ventas menos 21% estimado sobre COGS y costes fijos (aproximación; no incluye deducción de IVA soportado en Ads ni en compras de inventario en origen, que suelen no llevar IVA español).</t>
      </text>
    </comment>
  </commentList>
</comments>
</file>

<file path=xl/comments/comment4.xml><?xml version="1.0" encoding="utf-8"?>
<comments xmlns="http://schemas.openxmlformats.org/spreadsheetml/2006/main">
  <authors>
    <author>NOCTA Finanzas</author>
  </authors>
  <commentList>
    <comment ref="A17" authorId="0" shapeId="0">
      <text>
        <t>Tabla de sensibilidad: cada celda = Margen de contribución mensual (€) = Pedidos(Presupuesto/CPA) × Margen unitario(AOV) − Presupuesto de Ads. Verde/positivo = escenario rentable a ese CPA y AOV.</t>
      </text>
    </comment>
  </commentList>
</comments>
</file>

<file path=xl/comments/comment5.xml><?xml version="1.0" encoding="utf-8"?>
<comments xmlns="http://schemas.openxmlformats.org/spreadsheetml/2006/main">
  <authors>
    <author>NOCTA Finanzas</author>
  </authors>
  <commentList>
    <comment ref="A5" authorId="0" shapeId="0">
      <text>
        <t>Estas filas alimentan, vía CHOOSE, las celdas '...activo' de la hoja Supuestos. Cambiar el selector de escenario en Supuestos recalcula PyG, Caja y Punto muerto.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60" customWidth="1" min="4" max="4"/>
  </cols>
  <sheetData>
    <row r="1">
      <c r="A1" s="1" t="inlineStr">
        <is>
          <t>NOCTA — Supuestos del modelo financiero (España, 2026)</t>
        </is>
      </c>
    </row>
    <row r="2">
      <c r="A2" s="2" t="inlineStr">
        <is>
          <t>Todas las celdas en azul son inputs editables. El resto de hojas referencia estos valores.</t>
        </is>
      </c>
    </row>
    <row r="4">
      <c r="A4" s="3" t="inlineStr">
        <is>
          <t>Parámetro</t>
        </is>
      </c>
      <c r="B4" s="4" t="inlineStr">
        <is>
          <t>Valor</t>
        </is>
      </c>
      <c r="C4" s="4" t="inlineStr">
        <is>
          <t>Unidad</t>
        </is>
      </c>
      <c r="D4" s="3" t="inlineStr">
        <is>
          <t>Nota / fuente</t>
        </is>
      </c>
    </row>
    <row r="5">
      <c r="A5" s="5" t="inlineStr">
        <is>
          <t>Cambio de divisa e impuestos</t>
        </is>
      </c>
      <c r="B5" s="6" t="n"/>
      <c r="C5" s="6" t="n"/>
      <c r="D5" s="7" t="n"/>
    </row>
    <row r="6">
      <c r="A6" s="8" t="inlineStr">
        <is>
          <t>Tipo de cambio USD → EUR</t>
        </is>
      </c>
      <c r="B6" s="9" t="n">
        <v>0.92</v>
      </c>
      <c r="C6" s="10" t="inlineStr">
        <is>
          <t>€/$</t>
        </is>
      </c>
      <c r="D6" s="11" t="inlineStr">
        <is>
          <t>Supuesto dado en el encargo</t>
        </is>
      </c>
    </row>
    <row r="7">
      <c r="A7" s="8" t="inlineStr">
        <is>
          <t>IVA España (tipo general)</t>
        </is>
      </c>
      <c r="B7" s="12" t="n">
        <v>0.21</v>
      </c>
      <c r="C7" s="10" t="inlineStr">
        <is>
          <t>%</t>
        </is>
      </c>
      <c r="D7" s="11" t="inlineStr">
        <is>
          <t>Ley 37/1992 IVA</t>
        </is>
      </c>
    </row>
    <row r="8">
      <c r="A8" s="7" t="n"/>
      <c r="B8" s="6" t="n"/>
      <c r="C8" s="6" t="n"/>
      <c r="D8" s="7" t="n"/>
    </row>
    <row r="9">
      <c r="A9" s="5" t="inlineStr">
        <is>
          <t>Shopify y pasarela de pago</t>
        </is>
      </c>
      <c r="B9" s="6" t="n"/>
      <c r="C9" s="6" t="n"/>
      <c r="D9" s="7" t="n"/>
    </row>
    <row r="10">
      <c r="A10" s="8" t="inlineStr">
        <is>
          <t>Shopify Basic</t>
        </is>
      </c>
      <c r="B10" s="13" t="n">
        <v>27</v>
      </c>
      <c r="C10" s="10" t="inlineStr">
        <is>
          <t>€/mes</t>
        </is>
      </c>
      <c r="D10" s="11" t="inlineStr">
        <is>
          <t>Supuesto dado (precio 2026)</t>
        </is>
      </c>
    </row>
    <row r="11">
      <c r="A11" s="8" t="inlineStr">
        <is>
          <t>Shopify Grow (plan superior)</t>
        </is>
      </c>
      <c r="B11" s="13" t="n">
        <v>79</v>
      </c>
      <c r="C11" s="10" t="inlineStr">
        <is>
          <t>€/mes</t>
        </is>
      </c>
      <c r="D11" s="11" t="inlineStr">
        <is>
          <t>Supuesto dado (precio 2026)</t>
        </is>
      </c>
    </row>
    <row r="12">
      <c r="A12" s="8" t="inlineStr">
        <is>
          <t>Comisión Shopify Payments</t>
        </is>
      </c>
      <c r="B12" s="14" t="n">
        <v>0.019</v>
      </c>
      <c r="C12" s="10" t="inlineStr">
        <is>
          <t>% s/venta</t>
        </is>
      </c>
      <c r="D12" s="11" t="inlineStr">
        <is>
          <t>Supuesto dado</t>
        </is>
      </c>
    </row>
    <row r="13">
      <c r="A13" s="8" t="inlineStr">
        <is>
          <t>Fee fijo Shopify Payments</t>
        </is>
      </c>
      <c r="B13" s="13" t="n">
        <v>0.25</v>
      </c>
      <c r="C13" s="10" t="inlineStr">
        <is>
          <t>€/transacción</t>
        </is>
      </c>
      <c r="D13" s="11" t="inlineStr">
        <is>
          <t>Supuesto dado</t>
        </is>
      </c>
    </row>
    <row r="14">
      <c r="A14" s="8" t="inlineStr">
        <is>
          <t>Comisión Klarna</t>
        </is>
      </c>
      <c r="B14" s="14" t="n">
        <v>0.0249</v>
      </c>
      <c r="C14" s="10" t="inlineStr">
        <is>
          <t>% s/venta</t>
        </is>
      </c>
      <c r="D14" s="11" t="inlineStr">
        <is>
          <t>Supuesto dado</t>
        </is>
      </c>
    </row>
    <row r="15">
      <c r="A15" s="8" t="inlineStr">
        <is>
          <t>Fee fijo Klarna</t>
        </is>
      </c>
      <c r="B15" s="13" t="n">
        <v>0.35</v>
      </c>
      <c r="C15" s="10" t="inlineStr">
        <is>
          <t>€/transacción</t>
        </is>
      </c>
      <c r="D15" s="11" t="inlineStr">
        <is>
          <t>Supuesto dado</t>
        </is>
      </c>
    </row>
    <row r="16">
      <c r="A16" s="7" t="n"/>
      <c r="B16" s="6" t="n"/>
      <c r="C16" s="6" t="n"/>
      <c r="D16" s="7" t="n"/>
    </row>
    <row r="17">
      <c r="A17" s="5" t="inlineStr">
        <is>
          <t>Envío (Correos / GLS) — 250 g, según región</t>
        </is>
      </c>
      <c r="B17" s="6" t="n"/>
      <c r="C17" s="6" t="n"/>
      <c r="D17" s="7" t="n"/>
    </row>
    <row r="18">
      <c r="A18" s="8" t="inlineStr">
        <is>
          <t>Envío Península (mínimo)</t>
        </is>
      </c>
      <c r="B18" s="13" t="n">
        <v>3.5</v>
      </c>
      <c r="C18" s="10" t="inlineStr">
        <is>
          <t>€</t>
        </is>
      </c>
      <c r="D18" s="11" t="inlineStr">
        <is>
          <t>Supuesto dado</t>
        </is>
      </c>
    </row>
    <row r="19">
      <c r="A19" s="8" t="inlineStr">
        <is>
          <t>Envío Península (máximo)</t>
        </is>
      </c>
      <c r="B19" s="13" t="n">
        <v>4.5</v>
      </c>
      <c r="C19" s="10" t="inlineStr">
        <is>
          <t>€</t>
        </is>
      </c>
      <c r="D19" s="11" t="inlineStr">
        <is>
          <t>Supuesto dado</t>
        </is>
      </c>
    </row>
    <row r="20">
      <c r="A20" s="8" t="inlineStr">
        <is>
          <t>Envío Península (medio)</t>
        </is>
      </c>
      <c r="B20" s="15">
        <f>AVERAGE(B18:B19)</f>
        <v/>
      </c>
      <c r="C20" s="10" t="inlineStr">
        <is>
          <t>€</t>
        </is>
      </c>
      <c r="D20" s="11" t="inlineStr">
        <is>
          <t>Media del rango dado</t>
        </is>
      </c>
    </row>
    <row r="21">
      <c r="A21" s="8" t="inlineStr">
        <is>
          <t>Envío Baleares</t>
        </is>
      </c>
      <c r="B21" s="13" t="n">
        <v>6</v>
      </c>
      <c r="C21" s="10" t="inlineStr">
        <is>
          <t>€</t>
        </is>
      </c>
      <c r="D21" s="11" t="inlineStr">
        <is>
          <t>Supuesto dado</t>
        </is>
      </c>
    </row>
    <row r="22">
      <c r="A22" s="8" t="inlineStr">
        <is>
          <t>Envío Canarias</t>
        </is>
      </c>
      <c r="B22" s="13" t="n">
        <v>9</v>
      </c>
      <c r="C22" s="10" t="inlineStr">
        <is>
          <t>€</t>
        </is>
      </c>
      <c r="D22" s="11" t="inlineStr">
        <is>
          <t>Supuesto dado</t>
        </is>
      </c>
    </row>
    <row r="23">
      <c r="A23" s="8" t="inlineStr">
        <is>
          <t>% pedidos Península</t>
        </is>
      </c>
      <c r="B23" s="12" t="n">
        <v>0.9</v>
      </c>
      <c r="C23" s="10" t="inlineStr">
        <is>
          <t>%</t>
        </is>
      </c>
      <c r="D23" s="11" t="inlineStr">
        <is>
          <t>Estimación: distribución de población/envíos España</t>
        </is>
      </c>
    </row>
    <row r="24">
      <c r="A24" s="8" t="inlineStr">
        <is>
          <t>% pedidos Baleares</t>
        </is>
      </c>
      <c r="B24" s="12" t="n">
        <v>0.05</v>
      </c>
      <c r="C24" s="10" t="inlineStr">
        <is>
          <t>%</t>
        </is>
      </c>
      <c r="D24" s="11" t="inlineStr">
        <is>
          <t>Estimación</t>
        </is>
      </c>
    </row>
    <row r="25">
      <c r="A25" s="8" t="inlineStr">
        <is>
          <t>% pedidos Canarias</t>
        </is>
      </c>
      <c r="B25" s="12" t="n">
        <v>0.05</v>
      </c>
      <c r="C25" s="10" t="inlineStr">
        <is>
          <t>%</t>
        </is>
      </c>
      <c r="D25" s="11" t="inlineStr">
        <is>
          <t>Estimación</t>
        </is>
      </c>
    </row>
    <row r="26">
      <c r="A26" s="8" t="inlineStr">
        <is>
          <t>Envío medio ponderado (mix regional)</t>
        </is>
      </c>
      <c r="B26" s="15">
        <f>B20*B23+B21*B24+B22*B25</f>
        <v/>
      </c>
      <c r="C26" s="10" t="inlineStr">
        <is>
          <t>€</t>
        </is>
      </c>
      <c r="D26" s="11" t="inlineStr">
        <is>
          <t>Ponderado por mix regional estimado</t>
        </is>
      </c>
    </row>
    <row r="27">
      <c r="A27" s="7" t="n"/>
      <c r="B27" s="6" t="n"/>
      <c r="C27" s="6" t="n"/>
      <c r="D27" s="7" t="n"/>
    </row>
    <row r="28">
      <c r="A28" s="5" t="inlineStr">
        <is>
          <t>Logística 3PL (pick&amp;pack, packaging, devoluciones)</t>
        </is>
      </c>
      <c r="B28" s="6" t="n"/>
      <c r="C28" s="6" t="n"/>
      <c r="D28" s="7" t="n"/>
    </row>
    <row r="29">
      <c r="A29" s="8" t="inlineStr">
        <is>
          <t>Pick&amp;pack 3PL (mínimo)</t>
        </is>
      </c>
      <c r="B29" s="13" t="n">
        <v>2.2</v>
      </c>
      <c r="C29" s="10" t="inlineStr">
        <is>
          <t>€/pedido</t>
        </is>
      </c>
      <c r="D29" s="11" t="inlineStr">
        <is>
          <t>Supuesto dado</t>
        </is>
      </c>
    </row>
    <row r="30">
      <c r="A30" s="8" t="inlineStr">
        <is>
          <t>Pick&amp;pack 3PL (máximo)</t>
        </is>
      </c>
      <c r="B30" s="13" t="n">
        <v>2.8</v>
      </c>
      <c r="C30" s="10" t="inlineStr">
        <is>
          <t>€/pedido</t>
        </is>
      </c>
      <c r="D30" s="11" t="inlineStr">
        <is>
          <t>Supuesto dado</t>
        </is>
      </c>
    </row>
    <row r="31">
      <c r="A31" s="8" t="inlineStr">
        <is>
          <t>Pick&amp;pack 3PL (medio)</t>
        </is>
      </c>
      <c r="B31" s="15">
        <f>AVERAGE(B29:B30)</f>
        <v/>
      </c>
      <c r="C31" s="10" t="inlineStr">
        <is>
          <t>€/pedido</t>
        </is>
      </c>
      <c r="D31" s="11" t="inlineStr">
        <is>
          <t>Media del rango dado</t>
        </is>
      </c>
    </row>
    <row r="32">
      <c r="A32" s="8" t="inlineStr">
        <is>
          <t>Coste por unidad adicional en pedido</t>
        </is>
      </c>
      <c r="B32" s="13" t="n">
        <v>0.45</v>
      </c>
      <c r="C32" s="10" t="inlineStr">
        <is>
          <t>€/ud adicional</t>
        </is>
      </c>
      <c r="D32" s="11" t="inlineStr">
        <is>
          <t>Supuesto dado</t>
        </is>
      </c>
    </row>
    <row r="33">
      <c r="A33" s="8" t="inlineStr">
        <is>
          <t>Packaging de envío (caja/sobre + relleno)</t>
        </is>
      </c>
      <c r="B33" s="13" t="n">
        <v>0.35</v>
      </c>
      <c r="C33" s="10" t="inlineStr">
        <is>
          <t>€/pedido</t>
        </is>
      </c>
      <c r="D33" s="11" t="inlineStr">
        <is>
          <t>Supuesto dado</t>
        </is>
      </c>
    </row>
    <row r="34">
      <c r="A34" s="8" t="inlineStr">
        <is>
          <t>Tasa de devoluciones</t>
        </is>
      </c>
      <c r="B34" s="12" t="n">
        <v>0.03</v>
      </c>
      <c r="C34" s="10" t="inlineStr">
        <is>
          <t>%</t>
        </is>
      </c>
      <c r="D34" s="11" t="inlineStr">
        <is>
          <t>Supuesto dado</t>
        </is>
      </c>
    </row>
    <row r="35">
      <c r="A35" s="7" t="n"/>
      <c r="B35" s="6" t="n"/>
      <c r="C35" s="6" t="n"/>
      <c r="D35" s="7" t="n"/>
    </row>
    <row r="36">
      <c r="A36" s="5" t="inlineStr">
        <is>
          <t>Marketing / adquisición (Meta Ads)</t>
        </is>
      </c>
      <c r="B36" s="6" t="n"/>
      <c r="C36" s="6" t="n"/>
      <c r="D36" s="7" t="n"/>
    </row>
    <row r="37">
      <c r="A37" s="8" t="inlineStr">
        <is>
          <t>CPM Meta España (mínimo)</t>
        </is>
      </c>
      <c r="B37" s="13" t="n">
        <v>6</v>
      </c>
      <c r="C37" s="10" t="inlineStr">
        <is>
          <t>€</t>
        </is>
      </c>
      <c r="D37" s="11" t="inlineStr">
        <is>
          <t>Supuesto dado</t>
        </is>
      </c>
    </row>
    <row r="38">
      <c r="A38" s="8" t="inlineStr">
        <is>
          <t>CPM Meta España (máximo)</t>
        </is>
      </c>
      <c r="B38" s="13" t="n">
        <v>9</v>
      </c>
      <c r="C38" s="10" t="inlineStr">
        <is>
          <t>€</t>
        </is>
      </c>
      <c r="D38" s="11" t="inlineStr">
        <is>
          <t>Supuesto dado</t>
        </is>
      </c>
    </row>
    <row r="39">
      <c r="A39" s="8" t="inlineStr">
        <is>
          <t>CPM Meta España (medio)</t>
        </is>
      </c>
      <c r="B39" s="15">
        <f>AVERAGE(B37:B38)</f>
        <v/>
      </c>
      <c r="C39" s="10" t="inlineStr">
        <is>
          <t>€</t>
        </is>
      </c>
      <c r="D39" s="11" t="inlineStr">
        <is>
          <t>Media del rango dado</t>
        </is>
      </c>
    </row>
    <row r="40">
      <c r="A40" s="8" t="inlineStr">
        <is>
          <t>CTR</t>
        </is>
      </c>
      <c r="B40" s="14" t="n">
        <v>0.012</v>
      </c>
      <c r="C40" s="10" t="inlineStr">
        <is>
          <t>%</t>
        </is>
      </c>
      <c r="D40" s="11" t="inlineStr">
        <is>
          <t>Supuesto dado</t>
        </is>
      </c>
    </row>
    <row r="41">
      <c r="A41" s="8" t="inlineStr">
        <is>
          <t>CVR (escenario Base)</t>
        </is>
      </c>
      <c r="B41" s="14" t="n">
        <v>0.022</v>
      </c>
      <c r="C41" s="10" t="inlineStr">
        <is>
          <t>%</t>
        </is>
      </c>
      <c r="D41" s="11" t="inlineStr">
        <is>
          <t>Supuesto dado (base)</t>
        </is>
      </c>
    </row>
    <row r="42">
      <c r="A42" s="8" t="inlineStr">
        <is>
          <t>CVR (escenario Conservador)</t>
        </is>
      </c>
      <c r="B42" s="14" t="n">
        <v>0.016</v>
      </c>
      <c r="C42" s="10" t="inlineStr">
        <is>
          <t>%</t>
        </is>
      </c>
      <c r="D42" s="11" t="inlineStr">
        <is>
          <t>Estimación: -27% vs. base por menor eficiencia de creatividades/audiencia</t>
        </is>
      </c>
    </row>
    <row r="43">
      <c r="A43" s="8" t="inlineStr">
        <is>
          <t>CVR (escenario Agresivo)</t>
        </is>
      </c>
      <c r="B43" s="14" t="n">
        <v>0.028</v>
      </c>
      <c r="C43" s="10" t="inlineStr">
        <is>
          <t>%</t>
        </is>
      </c>
      <c r="D43" s="11" t="inlineStr">
        <is>
          <t>Estimación: +27% vs. base por buen product-market fit y UGC</t>
        </is>
      </c>
    </row>
    <row r="44">
      <c r="A44" s="8" t="inlineStr">
        <is>
          <t>AOV (ticket medio, con IVA)</t>
        </is>
      </c>
      <c r="B44" s="13" t="n">
        <v>38</v>
      </c>
      <c r="C44" s="10" t="inlineStr">
        <is>
          <t>€</t>
        </is>
      </c>
      <c r="D44" s="11" t="inlineStr">
        <is>
          <t>Supuesto dado</t>
        </is>
      </c>
    </row>
    <row r="45">
      <c r="A45" s="8" t="inlineStr">
        <is>
          <t>Unidades por pedido</t>
        </is>
      </c>
      <c r="B45" s="16" t="n">
        <v>1.6</v>
      </c>
      <c r="C45" s="10" t="inlineStr">
        <is>
          <t>uds</t>
        </is>
      </c>
      <c r="D45" s="11" t="inlineStr">
        <is>
          <t>Supuesto dado</t>
        </is>
      </c>
    </row>
    <row r="46">
      <c r="A46" s="8" t="inlineStr">
        <is>
          <t>ROAS objetivo para escalar inversión</t>
        </is>
      </c>
      <c r="B46" s="17" t="n">
        <v>2.5</v>
      </c>
      <c r="C46" s="10" t="inlineStr">
        <is>
          <t>x</t>
        </is>
      </c>
      <c r="D46" s="11" t="inlineStr">
        <is>
          <t>Supuesto dado (umbral de escalado)</t>
        </is>
      </c>
    </row>
    <row r="47">
      <c r="A47" s="8" t="inlineStr">
        <is>
          <t>Inversión en Ads mes 1</t>
        </is>
      </c>
      <c r="B47" s="18" t="n">
        <v>3000</v>
      </c>
      <c r="C47" s="10" t="inlineStr">
        <is>
          <t>€</t>
        </is>
      </c>
      <c r="D47" s="11" t="inlineStr">
        <is>
          <t>Supuesto dado</t>
        </is>
      </c>
    </row>
    <row r="48">
      <c r="A48" s="8" t="inlineStr">
        <is>
          <t>Crecimiento mensual de Ads si ROAS≥objetivo (Base)</t>
        </is>
      </c>
      <c r="B48" s="12" t="n">
        <v>0.2</v>
      </c>
      <c r="C48" s="10" t="inlineStr">
        <is>
          <t>%/mes</t>
        </is>
      </c>
      <c r="D48" s="11" t="inlineStr">
        <is>
          <t>Supuesto dado</t>
        </is>
      </c>
    </row>
    <row r="49">
      <c r="A49" s="8" t="inlineStr">
        <is>
          <t>Crecimiento mensual de Ads (Conservador)</t>
        </is>
      </c>
      <c r="B49" s="12" t="n">
        <v>0.08</v>
      </c>
      <c r="C49" s="10" t="inlineStr">
        <is>
          <t>%/mes</t>
        </is>
      </c>
      <c r="D49" s="11" t="inlineStr">
        <is>
          <t>Estimación: escalado prudente</t>
        </is>
      </c>
    </row>
    <row r="50">
      <c r="A50" s="8" t="inlineStr">
        <is>
          <t>Crecimiento mensual de Ads (Agresivo)</t>
        </is>
      </c>
      <c r="B50" s="12" t="n">
        <v>0.3</v>
      </c>
      <c r="C50" s="10" t="inlineStr">
        <is>
          <t>%/mes</t>
        </is>
      </c>
      <c r="D50" s="11" t="inlineStr">
        <is>
          <t>Estimación: escalado agresivo</t>
        </is>
      </c>
    </row>
    <row r="51">
      <c r="A51" s="8" t="inlineStr">
        <is>
          <t>Techo mensual de inversión en Ads (Conservador)</t>
        </is>
      </c>
      <c r="B51" s="18" t="n">
        <v>9000</v>
      </c>
      <c r="C51" s="10" t="inlineStr">
        <is>
          <t>€/mes</t>
        </is>
      </c>
      <c r="D51" s="11" t="inlineStr">
        <is>
          <t>Estimación: límite de saturación de audiencia ES</t>
        </is>
      </c>
    </row>
    <row r="52">
      <c r="A52" s="8" t="inlineStr">
        <is>
          <t>Techo mensual de inversión en Ads (Base)</t>
        </is>
      </c>
      <c r="B52" s="18" t="n">
        <v>18000</v>
      </c>
      <c r="C52" s="10" t="inlineStr">
        <is>
          <t>€/mes</t>
        </is>
      </c>
      <c r="D52" s="11" t="inlineStr">
        <is>
          <t>Estimación: límite de saturación de audiencia ES</t>
        </is>
      </c>
    </row>
    <row r="53">
      <c r="A53" s="8" t="inlineStr">
        <is>
          <t>Techo mensual de inversión en Ads (Agresivo)</t>
        </is>
      </c>
      <c r="B53" s="18" t="n">
        <v>30000</v>
      </c>
      <c r="C53" s="10" t="inlineStr">
        <is>
          <t>€/mes</t>
        </is>
      </c>
      <c r="D53" s="11" t="inlineStr">
        <is>
          <t>Estimación: límite de saturación de audiencia ES</t>
        </is>
      </c>
    </row>
    <row r="54">
      <c r="A54" s="7" t="n"/>
      <c r="B54" s="6" t="n"/>
      <c r="C54" s="6" t="n"/>
      <c r="D54" s="7" t="n"/>
    </row>
    <row r="55">
      <c r="A55" s="5" t="inlineStr">
        <is>
          <t>Coste de producto (parches y líquidos)</t>
        </is>
      </c>
      <c r="B55" s="6" t="n"/>
      <c r="C55" s="6" t="n"/>
      <c r="D55" s="7" t="n"/>
    </row>
    <row r="56">
      <c r="A56" s="8" t="inlineStr">
        <is>
          <t>Packaging unitario (mínimo)</t>
        </is>
      </c>
      <c r="B56" s="19" t="n">
        <v>0.3</v>
      </c>
      <c r="C56" s="10" t="inlineStr">
        <is>
          <t>$/pack</t>
        </is>
      </c>
      <c r="D56" s="11" t="inlineStr">
        <is>
          <t>Supuesto dado</t>
        </is>
      </c>
    </row>
    <row r="57">
      <c r="A57" s="8" t="inlineStr">
        <is>
          <t>Packaging unitario (máximo)</t>
        </is>
      </c>
      <c r="B57" s="19" t="n">
        <v>0.8</v>
      </c>
      <c r="C57" s="10" t="inlineStr">
        <is>
          <t>$/pack</t>
        </is>
      </c>
      <c r="D57" s="11" t="inlineStr">
        <is>
          <t>Supuesto dado</t>
        </is>
      </c>
    </row>
    <row r="58">
      <c r="A58" s="8" t="inlineStr">
        <is>
          <t>Packaging unitario (medio)</t>
        </is>
      </c>
      <c r="B58" s="20">
        <f>AVERAGE(B56:B57)</f>
        <v/>
      </c>
      <c r="C58" s="10" t="inlineStr">
        <is>
          <t>$/pack</t>
        </is>
      </c>
      <c r="D58" s="11" t="inlineStr">
        <is>
          <t>Media del rango dado</t>
        </is>
      </c>
    </row>
    <row r="59">
      <c r="A59" s="8" t="inlineStr">
        <is>
          <t>Coste de troquel (utillaje)</t>
        </is>
      </c>
      <c r="B59" s="19" t="n">
        <v>1000</v>
      </c>
      <c r="C59" s="10" t="inlineStr">
        <is>
          <t>$/troquel</t>
        </is>
      </c>
      <c r="D59" s="11" t="inlineStr">
        <is>
          <t>Supuesto dado</t>
        </is>
      </c>
    </row>
    <row r="60">
      <c r="A60" s="8" t="inlineStr">
        <is>
          <t>Unidades de amortización del troquel</t>
        </is>
      </c>
      <c r="B60" s="21" t="n">
        <v>3000</v>
      </c>
      <c r="C60" s="10" t="inlineStr">
        <is>
          <t>uds</t>
        </is>
      </c>
      <c r="D60" s="11" t="inlineStr">
        <is>
          <t>Supuesto dado</t>
        </is>
      </c>
    </row>
    <row r="61">
      <c r="A61" s="8" t="inlineStr">
        <is>
          <t>Coste de troquel amortizado por unidad</t>
        </is>
      </c>
      <c r="B61" s="22">
        <f>B59/B60</f>
        <v/>
      </c>
      <c r="C61" s="10" t="inlineStr">
        <is>
          <t>$/ud</t>
        </is>
      </c>
      <c r="D61" s="11" t="inlineStr">
        <is>
          <t>Amortización lineal 1.000$/3.000 uds</t>
        </is>
      </c>
    </row>
    <row r="62">
      <c r="A62" s="8" t="inlineStr">
        <is>
          <t>Flete internacional por unidad</t>
        </is>
      </c>
      <c r="B62" s="13" t="n">
        <v>0.3</v>
      </c>
      <c r="C62" s="10" t="inlineStr">
        <is>
          <t>€/ud</t>
        </is>
      </c>
      <c r="D62" s="11" t="inlineStr">
        <is>
          <t>Supuesto dado</t>
        </is>
      </c>
    </row>
    <row r="63">
      <c r="A63" s="8" t="inlineStr">
        <is>
          <t>Arancel Corea (HS 3304.99, acuerdo UE-Corea)</t>
        </is>
      </c>
      <c r="B63" s="12" t="n">
        <v>0</v>
      </c>
      <c r="C63" s="10" t="inlineStr">
        <is>
          <t>%</t>
        </is>
      </c>
      <c r="D63" s="11" t="inlineStr">
        <is>
          <t>Acuerdo de libre comercio UE-Corea con declaración de origen</t>
        </is>
      </c>
    </row>
    <row r="64">
      <c r="A64" s="8" t="inlineStr">
        <is>
          <t>Arancel China (HS 3304.99, MFN)</t>
        </is>
      </c>
      <c r="B64" s="12" t="n">
        <v>0.065</v>
      </c>
      <c r="C64" s="10" t="inlineStr">
        <is>
          <t>%</t>
        </is>
      </c>
      <c r="D64" s="11" t="inlineStr">
        <is>
          <t>Arancel MFN estándar</t>
        </is>
      </c>
    </row>
    <row r="65">
      <c r="A65" s="7" t="n"/>
      <c r="B65" s="6" t="n"/>
      <c r="C65" s="6" t="n"/>
      <c r="D65" s="7" t="n"/>
    </row>
    <row r="66">
      <c r="A66" s="5" t="inlineStr">
        <is>
          <t>Retención, recompra y suscripción</t>
        </is>
      </c>
      <c r="B66" s="6" t="n"/>
      <c r="C66" s="6" t="n"/>
      <c r="D66" s="7" t="n"/>
    </row>
    <row r="67">
      <c r="A67" s="8" t="inlineStr">
        <is>
          <t>Repetición de compra a 90 días (no suscriptores)</t>
        </is>
      </c>
      <c r="B67" s="12" t="n">
        <v>0.3</v>
      </c>
      <c r="C67" s="10" t="inlineStr">
        <is>
          <t>%</t>
        </is>
      </c>
      <c r="D67" s="11" t="inlineStr">
        <is>
          <t>Supuesto dado</t>
        </is>
      </c>
    </row>
    <row r="68">
      <c r="A68" s="8" t="inlineStr">
        <is>
          <t>Factor de extensión de repetición a 180 días</t>
        </is>
      </c>
      <c r="B68" s="17" t="n">
        <v>1.5</v>
      </c>
      <c r="C68" s="10" t="inlineStr">
        <is>
          <t>x</t>
        </is>
      </c>
      <c r="D68" s="11" t="inlineStr">
        <is>
          <t>Estimación: acumulación de 2 ventanas de repetición</t>
        </is>
      </c>
    </row>
    <row r="69">
      <c r="A69" s="8" t="inlineStr">
        <is>
          <t>Repetición de compra a 180 días (no suscriptores)</t>
        </is>
      </c>
      <c r="B69" s="23">
        <f>B67*B68</f>
        <v/>
      </c>
      <c r="C69" s="10" t="inlineStr">
        <is>
          <t>%</t>
        </is>
      </c>
      <c r="D69" s="11">
        <f> repetición 90d × factor de extensión</f>
        <v/>
      </c>
    </row>
    <row r="70">
      <c r="A70" s="8" t="inlineStr">
        <is>
          <t>Tasa de suscripción</t>
        </is>
      </c>
      <c r="B70" s="12" t="n">
        <v>0.15</v>
      </c>
      <c r="C70" s="10" t="inlineStr">
        <is>
          <t>%</t>
        </is>
      </c>
      <c r="D70" s="11" t="inlineStr">
        <is>
          <t>Supuesto dado</t>
        </is>
      </c>
    </row>
    <row r="71">
      <c r="A71" s="8" t="inlineStr">
        <is>
          <t>Descuento de suscripción sobre AOV</t>
        </is>
      </c>
      <c r="B71" s="12" t="n">
        <v>0.15</v>
      </c>
      <c r="C71" s="10" t="inlineStr">
        <is>
          <t>%</t>
        </is>
      </c>
      <c r="D71" s="11" t="inlineStr">
        <is>
          <t>Estimación: alineado con esquema de Vue (-15%)</t>
        </is>
      </c>
    </row>
    <row r="72">
      <c r="A72" s="8" t="inlineStr">
        <is>
          <t>Cadencia de envío de suscripción</t>
        </is>
      </c>
      <c r="B72" s="24" t="n">
        <v>30</v>
      </c>
      <c r="C72" s="10" t="inlineStr">
        <is>
          <t>días</t>
        </is>
      </c>
      <c r="D72" s="11" t="inlineStr">
        <is>
          <t>Estimación: cadencia estándar de suscripción skincare</t>
        </is>
      </c>
    </row>
    <row r="73">
      <c r="A73" s="8" t="inlineStr">
        <is>
          <t>Pedidos de suscripción adicionales en 90 días</t>
        </is>
      </c>
      <c r="B73" s="24">
        <f>ROUND(90/B72,0)-1</f>
        <v/>
      </c>
      <c r="C73" s="10" t="inlineStr">
        <is>
          <t>pedidos</t>
        </is>
      </c>
      <c r="D73" s="11">
        <f> 90/cadencia − 1 (pedido inicial ya contado aparte)</f>
        <v/>
      </c>
    </row>
    <row r="74">
      <c r="A74" s="8" t="inlineStr">
        <is>
          <t>Pedidos de suscripción adicionales en 180 días</t>
        </is>
      </c>
      <c r="B74" s="24">
        <f>ROUND(180/B72,0)-1</f>
        <v/>
      </c>
      <c r="C74" s="10" t="inlineStr">
        <is>
          <t>pedidos</t>
        </is>
      </c>
      <c r="D74" s="11">
        <f> 180/cadencia − 1</f>
        <v/>
      </c>
    </row>
    <row r="75">
      <c r="A75" s="8" t="inlineStr">
        <is>
          <t>Umbral de pedido para envío gratis / regalo</t>
        </is>
      </c>
      <c r="B75" s="13" t="n">
        <v>30</v>
      </c>
      <c r="C75" s="10" t="inlineStr">
        <is>
          <t>€</t>
        </is>
      </c>
      <c r="D75" s="11" t="inlineStr">
        <is>
          <t>Supuesto dado (Vue usa 30€ como primer umbral)</t>
        </is>
      </c>
    </row>
    <row r="76">
      <c r="A76" s="8" t="inlineStr">
        <is>
          <t>Coste del regalo por umbral</t>
        </is>
      </c>
      <c r="B76" s="13" t="n">
        <v>0.6</v>
      </c>
      <c r="C76" s="10" t="inlineStr">
        <is>
          <t>€</t>
        </is>
      </c>
      <c r="D76" s="11" t="inlineStr">
        <is>
          <t>Supuesto dado</t>
        </is>
      </c>
    </row>
    <row r="77">
      <c r="A77" s="7" t="n"/>
      <c r="B77" s="6" t="n"/>
      <c r="C77" s="6" t="n"/>
      <c r="D77" s="7" t="n"/>
    </row>
    <row r="78">
      <c r="A78" s="5" t="inlineStr">
        <is>
          <t>Gastos operativos fijos (recurrentes)</t>
        </is>
      </c>
      <c r="B78" s="6" t="n"/>
      <c r="C78" s="6" t="n"/>
      <c r="D78" s="7" t="n"/>
    </row>
    <row r="79">
      <c r="A79" s="8" t="inlineStr">
        <is>
          <t>Apps de Shopify (adicionales)</t>
        </is>
      </c>
      <c r="B79" s="18" t="n">
        <v>250</v>
      </c>
      <c r="C79" s="10" t="inlineStr">
        <is>
          <t>€/mes</t>
        </is>
      </c>
      <c r="D79" s="11" t="inlineStr">
        <is>
          <t>Supuesto dado</t>
        </is>
      </c>
    </row>
    <row r="80">
      <c r="A80" s="8" t="inlineStr">
        <is>
          <t>Freelance (diseño/contenido/soporte)</t>
        </is>
      </c>
      <c r="B80" s="18" t="n">
        <v>800</v>
      </c>
      <c r="C80" s="10" t="inlineStr">
        <is>
          <t>€/mes</t>
        </is>
      </c>
      <c r="D80" s="11" t="inlineStr">
        <is>
          <t>Supuesto dado</t>
        </is>
      </c>
    </row>
    <row r="81">
      <c r="A81" s="7" t="n"/>
      <c r="B81" s="6" t="n"/>
      <c r="C81" s="6" t="n"/>
      <c r="D81" s="7" t="n"/>
    </row>
    <row r="82">
      <c r="A82" s="5" t="inlineStr">
        <is>
          <t>Inversión inicial — legal, compliance y branding</t>
        </is>
      </c>
      <c r="B82" s="6" t="n"/>
      <c r="C82" s="6" t="n"/>
      <c r="D82" s="7" t="n"/>
    </row>
    <row r="83">
      <c r="A83" s="8" t="inlineStr">
        <is>
          <t>Compliance PR/PIF/CPSR/CPNP — 1er SKU</t>
        </is>
      </c>
      <c r="B83" s="18" t="n">
        <v>4000</v>
      </c>
      <c r="C83" s="10" t="inlineStr">
        <is>
          <t>€</t>
        </is>
      </c>
      <c r="D83" s="11" t="inlineStr">
        <is>
          <t>Supuesto dado (rango 1.500-4.500€, se toma ~4.000€)</t>
        </is>
      </c>
    </row>
    <row r="84">
      <c r="A84" s="8" t="inlineStr">
        <is>
          <t>Compliance por SKU adicional</t>
        </is>
      </c>
      <c r="B84" s="18" t="n">
        <v>1000</v>
      </c>
      <c r="C84" s="10" t="inlineStr">
        <is>
          <t>€/SKU</t>
        </is>
      </c>
      <c r="D84" s="11" t="inlineStr">
        <is>
          <t>Estimación: punto medio del rango 500-1.500€/SKU adicional</t>
        </is>
      </c>
    </row>
    <row r="85">
      <c r="A85" s="8" t="inlineStr">
        <is>
          <t>Declaración responsable de importación AEMPS (tasa 5.06)</t>
        </is>
      </c>
      <c r="B85" s="18" t="n">
        <v>466</v>
      </c>
      <c r="C85" s="10" t="inlineStr">
        <is>
          <t>€</t>
        </is>
      </c>
      <c r="D85" s="11" t="inlineStr">
        <is>
          <t>Supuesto dado / tasas AEMPS 2026</t>
        </is>
      </c>
    </row>
    <row r="86">
      <c r="A86" s="8" t="inlineStr">
        <is>
          <t>Registro de marca EUIPO (1 clase)</t>
        </is>
      </c>
      <c r="B86" s="18" t="n">
        <v>850</v>
      </c>
      <c r="C86" s="10" t="inlineStr">
        <is>
          <t>€</t>
        </is>
      </c>
      <c r="D86" s="11" t="inlineStr">
        <is>
          <t>Supuesto dado</t>
        </is>
      </c>
    </row>
    <row r="87">
      <c r="A87" s="8" t="inlineStr">
        <is>
          <t>Diseño de marca y packaging</t>
        </is>
      </c>
      <c r="B87" s="18" t="n">
        <v>2000</v>
      </c>
      <c r="C87" s="10" t="inlineStr">
        <is>
          <t>€</t>
        </is>
      </c>
      <c r="D87" s="11" t="inlineStr">
        <is>
          <t>Supuesto dado</t>
        </is>
      </c>
    </row>
    <row r="88">
      <c r="A88" s="8" t="inlineStr">
        <is>
          <t>Web (tema Shopify + apps + configuración)</t>
        </is>
      </c>
      <c r="B88" s="18" t="n">
        <v>1500</v>
      </c>
      <c r="C88" s="10" t="inlineStr">
        <is>
          <t>€</t>
        </is>
      </c>
      <c r="D88" s="11" t="inlineStr">
        <is>
          <t>Supuesto dado</t>
        </is>
      </c>
    </row>
    <row r="89">
      <c r="A89" s="8" t="inlineStr">
        <is>
          <t>Fotos y vídeo de producto</t>
        </is>
      </c>
      <c r="B89" s="18" t="n">
        <v>2000</v>
      </c>
      <c r="C89" s="10" t="inlineStr">
        <is>
          <t>€</t>
        </is>
      </c>
      <c r="D89" s="11" t="inlineStr">
        <is>
          <t>Supuesto dado</t>
        </is>
      </c>
    </row>
    <row r="90">
      <c r="A90" s="8" t="inlineStr">
        <is>
          <t>Coste por creadora UGC</t>
        </is>
      </c>
      <c r="B90" s="18" t="n">
        <v>150</v>
      </c>
      <c r="C90" s="10" t="inlineStr">
        <is>
          <t>€/creadora</t>
        </is>
      </c>
      <c r="D90" s="11" t="inlineStr">
        <is>
          <t>Supuesto dado</t>
        </is>
      </c>
    </row>
    <row r="91">
      <c r="A91" s="8" t="inlineStr">
        <is>
          <t>Número de creadoras UGC</t>
        </is>
      </c>
      <c r="B91" s="24" t="n">
        <v>10</v>
      </c>
      <c r="C91" s="10" t="inlineStr">
        <is>
          <t>creadoras</t>
        </is>
      </c>
      <c r="D91" s="11" t="inlineStr">
        <is>
          <t>Supuesto dado</t>
        </is>
      </c>
    </row>
    <row r="92">
      <c r="A92" s="8" t="inlineStr">
        <is>
          <t>Coste de muestras por SKU (sourcing)</t>
        </is>
      </c>
      <c r="B92" s="18" t="n">
        <v>100</v>
      </c>
      <c r="C92" s="10" t="inlineStr">
        <is>
          <t>€/SKU</t>
        </is>
      </c>
      <c r="D92" s="11" t="inlineStr">
        <is>
          <t>Estimación: muestras + envío de 3-4 proveedores por SKU</t>
        </is>
      </c>
    </row>
    <row r="93">
      <c r="A93" s="8" t="inlineStr">
        <is>
          <t>Nº de troqueles personalizados a comprar</t>
        </is>
      </c>
      <c r="B93" s="24" t="n">
        <v>4</v>
      </c>
      <c r="C93" s="10" t="inlineStr">
        <is>
          <t>troqueles</t>
        </is>
      </c>
      <c r="D93" s="11" t="inlineStr">
        <is>
          <t>Nariz, superficie, barbilla y frente (granos usa troquel redondo estándar)</t>
        </is>
      </c>
    </row>
    <row r="94">
      <c r="A94" s="7" t="n"/>
      <c r="B94" s="6" t="n"/>
      <c r="C94" s="6" t="n"/>
      <c r="D94" s="7" t="n"/>
    </row>
    <row r="95">
      <c r="A95" s="5" t="inlineStr">
        <is>
          <t>Capital, adquisición de inventario y tesorería</t>
        </is>
      </c>
      <c r="B95" s="6" t="n"/>
      <c r="C95" s="6" t="n"/>
      <c r="D95" s="7" t="n"/>
    </row>
    <row r="96">
      <c r="A96" s="8" t="inlineStr">
        <is>
          <t>Capital inicial aportado</t>
        </is>
      </c>
      <c r="B96" s="18" t="n">
        <v>25000</v>
      </c>
      <c r="C96" s="10" t="inlineStr">
        <is>
          <t>€</t>
        </is>
      </c>
      <c r="D96" s="11" t="inlineStr">
        <is>
          <t>Supuesto dado (aportación de socios/fundador)</t>
        </is>
      </c>
    </row>
    <row r="97">
      <c r="A97" s="8" t="inlineStr">
        <is>
          <t>Pedido inicial de inventario (MOQ, 10 SKU)</t>
        </is>
      </c>
      <c r="B97" s="18" t="n">
        <v>9000</v>
      </c>
      <c r="C97" s="10" t="inlineStr">
        <is>
          <t>€</t>
        </is>
      </c>
      <c r="D97" s="11" t="inlineStr">
        <is>
          <t>Estimación: MOQ agregado de 10 SKU a coste desembarcado</t>
        </is>
      </c>
    </row>
    <row r="98">
      <c r="A98" s="8" t="inlineStr">
        <is>
          <t>Depósito a proveedor al confirmar pedido</t>
        </is>
      </c>
      <c r="B98" s="12" t="n">
        <v>0.3</v>
      </c>
      <c r="C98" s="10" t="inlineStr">
        <is>
          <t>% del pedido</t>
        </is>
      </c>
      <c r="D98" s="11" t="inlineStr">
        <is>
          <t>Estimación: práctica habitual de proveedores coreanos/chinos</t>
        </is>
      </c>
    </row>
    <row r="99">
      <c r="A99" s="8" t="inlineStr">
        <is>
          <t>Saldo a proveedor antes de envío</t>
        </is>
      </c>
      <c r="B99" s="23">
        <f>1-B98</f>
        <v/>
      </c>
      <c r="C99" s="10" t="inlineStr">
        <is>
          <t>% del pedido</t>
        </is>
      </c>
      <c r="D99" s="11">
        <f> 100% - depósito</f>
        <v/>
      </c>
    </row>
    <row r="100">
      <c r="A100" s="8" t="inlineStr">
        <is>
          <t>Umbral de reposición (días de cobertura)</t>
        </is>
      </c>
      <c r="B100" s="24" t="n">
        <v>60</v>
      </c>
      <c r="C100" s="10" t="inlineStr">
        <is>
          <t>días</t>
        </is>
      </c>
      <c r="D100" s="11" t="inlineStr">
        <is>
          <t>Estimación: gatillo de reorder para evitar rotura de stock</t>
        </is>
      </c>
    </row>
    <row r="101">
      <c r="A101" s="8" t="inlineStr">
        <is>
          <t>Cobertura objetivo tras reposición</t>
        </is>
      </c>
      <c r="B101" s="24" t="n">
        <v>90</v>
      </c>
      <c r="C101" s="10" t="inlineStr">
        <is>
          <t>días</t>
        </is>
      </c>
      <c r="D101" s="11" t="inlineStr">
        <is>
          <t>Estimación: cobertura de 3 meses de venta</t>
        </is>
      </c>
    </row>
    <row r="102">
      <c r="A102" s="8" t="inlineStr">
        <is>
          <t>Días de cobro de Stripe/Shopify Payments (D+n)</t>
        </is>
      </c>
      <c r="B102" s="24" t="n">
        <v>2</v>
      </c>
      <c r="C102" s="10" t="inlineStr">
        <is>
          <t>días</t>
        </is>
      </c>
      <c r="D102" s="11" t="inlineStr">
        <is>
          <t>Supuesto dado (liquidación D+2)</t>
        </is>
      </c>
    </row>
    <row r="103">
      <c r="A103" s="8" t="inlineStr">
        <is>
          <t>Baja mensual de suscriptores (churn)</t>
        </is>
      </c>
      <c r="B103" s="12" t="n">
        <v>0.15</v>
      </c>
      <c r="C103" s="10" t="inlineStr">
        <is>
          <t>%/mes</t>
        </is>
      </c>
      <c r="D103" s="11" t="inlineStr">
        <is>
          <t>Estimación: churn típico de suscripción skincare DTC</t>
        </is>
      </c>
    </row>
    <row r="104">
      <c r="A104" s="7" t="n"/>
      <c r="B104" s="6" t="n"/>
      <c r="C104" s="6" t="n"/>
      <c r="D104" s="7" t="n"/>
    </row>
    <row r="105">
      <c r="A105" s="5" t="inlineStr">
        <is>
          <t>Gastos operativos fijos adicionales</t>
        </is>
      </c>
      <c r="B105" s="6" t="n"/>
      <c r="C105" s="6" t="n"/>
      <c r="D105" s="7" t="n"/>
    </row>
    <row r="106">
      <c r="A106" s="8" t="inlineStr">
        <is>
          <t>Legal / compliance CPNP recurrente</t>
        </is>
      </c>
      <c r="B106" s="18" t="n">
        <v>150</v>
      </c>
      <c r="C106" s="10" t="inlineStr">
        <is>
          <t>€/mes</t>
        </is>
      </c>
      <c r="D106" s="11" t="inlineStr">
        <is>
          <t>Estimación: retenedor de asesoría regulatoria y actualización de fichas CPNP</t>
        </is>
      </c>
    </row>
    <row r="107">
      <c r="A107" s="8" t="inlineStr">
        <is>
          <t>Gestoría / contabilidad</t>
        </is>
      </c>
      <c r="B107" s="18" t="n">
        <v>120</v>
      </c>
      <c r="C107" s="10" t="inlineStr">
        <is>
          <t>€/mes</t>
        </is>
      </c>
      <c r="D107" s="11" t="inlineStr">
        <is>
          <t>Estimación: cuota de gestoría para PYME en España</t>
        </is>
      </c>
    </row>
    <row r="108">
      <c r="A108" s="8" t="inlineStr">
        <is>
          <t>Muestras de producto (I+D / control de calidad)</t>
        </is>
      </c>
      <c r="B108" s="18" t="n">
        <v>80</v>
      </c>
      <c r="C108" s="10" t="inlineStr">
        <is>
          <t>€/mes</t>
        </is>
      </c>
      <c r="D108" s="11" t="inlineStr">
        <is>
          <t>Estimación: muestras de reposición y control de calidad continuo</t>
        </is>
      </c>
    </row>
    <row r="109">
      <c r="A109" s="7" t="n"/>
      <c r="B109" s="6" t="n"/>
      <c r="C109" s="6" t="n"/>
      <c r="D109" s="7" t="n"/>
    </row>
    <row r="110">
      <c r="A110" s="5" t="inlineStr">
        <is>
          <t>Curva de eficiencia de adquisición (CPA)</t>
        </is>
      </c>
      <c r="B110" s="6" t="n"/>
      <c r="C110" s="6" t="n"/>
      <c r="D110" s="7" t="n"/>
    </row>
    <row r="111">
      <c r="A111" s="8" t="inlineStr">
        <is>
          <t>CPA mes 1 (Base)</t>
        </is>
      </c>
      <c r="B111" s="13" t="n">
        <v>18</v>
      </c>
      <c r="C111" s="10" t="inlineStr">
        <is>
          <t>€/pedido</t>
        </is>
      </c>
      <c r="D111" s="11" t="inlineStr">
        <is>
          <t>Supuesto dado</t>
        </is>
      </c>
    </row>
    <row r="112">
      <c r="A112" s="8" t="inlineStr">
        <is>
          <t>CPA mes 6+ / suelo (Base)</t>
        </is>
      </c>
      <c r="B112" s="13" t="n">
        <v>11</v>
      </c>
      <c r="C112" s="10" t="inlineStr">
        <is>
          <t>€/pedido</t>
        </is>
      </c>
      <c r="D112" s="11" t="inlineStr">
        <is>
          <t>Supuesto dado</t>
        </is>
      </c>
    </row>
    <row r="113">
      <c r="A113" s="7" t="n"/>
      <c r="B113" s="6" t="n"/>
      <c r="C113" s="6" t="n"/>
      <c r="D113" s="7" t="n"/>
    </row>
    <row r="114">
      <c r="A114" s="5" t="inlineStr">
        <is>
          <t>Escenario activo (afecta a PyG, Caja y Punto muerto)</t>
        </is>
      </c>
      <c r="B114" s="6" t="n"/>
      <c r="C114" s="6" t="n"/>
      <c r="D114" s="7" t="n"/>
    </row>
    <row r="115">
      <c r="A115" s="8" t="inlineStr">
        <is>
          <t>Escenario seleccionado (1=Pesimista, 2=Base, 3=Optimista)</t>
        </is>
      </c>
      <c r="B115" s="25" t="n">
        <v>2</v>
      </c>
      <c r="C115" s="10" t="inlineStr">
        <is>
          <t>1-2-3</t>
        </is>
      </c>
      <c r="D115" s="11" t="inlineStr">
        <is>
          <t>Selector: cambiar este valor recalcula todo el modelo</t>
        </is>
      </c>
    </row>
    <row r="116">
      <c r="A116" s="8" t="inlineStr">
        <is>
          <t>CPA mes 1 — escenario activo</t>
        </is>
      </c>
      <c r="B116" s="15">
        <f>CHOOSE(B115,Escenarios!$B$5,Escenarios!$C$5,Escenarios!$D$5)</f>
        <v/>
      </c>
      <c r="C116" s="10" t="inlineStr">
        <is>
          <t>€/pedido</t>
        </is>
      </c>
      <c r="D116" s="11" t="inlineStr">
        <is>
          <t>CHOOSE según selector de escenario</t>
        </is>
      </c>
    </row>
    <row r="117">
      <c r="A117" s="8" t="inlineStr">
        <is>
          <t>CPA mes 6+ — escenario activo</t>
        </is>
      </c>
      <c r="B117" s="15">
        <f>CHOOSE(B115,Escenarios!$B$6,Escenarios!$C$6,Escenarios!$D$6)</f>
        <v/>
      </c>
      <c r="C117" s="10" t="inlineStr">
        <is>
          <t>€/pedido</t>
        </is>
      </c>
      <c r="D117" s="11" t="inlineStr">
        <is>
          <t>CHOOSE según selector de escenario</t>
        </is>
      </c>
    </row>
    <row r="118">
      <c r="A118" s="8" t="inlineStr">
        <is>
          <t>Multiplicador de AOV — escenario activo</t>
        </is>
      </c>
      <c r="B118" s="26">
        <f>CHOOSE(B115,Escenarios!$B$7,Escenarios!$C$7,Escenarios!$D$7)</f>
        <v/>
      </c>
      <c r="C118" s="10" t="inlineStr">
        <is>
          <t>x</t>
        </is>
      </c>
      <c r="D118" s="11" t="inlineStr">
        <is>
          <t>CHOOSE según selector de escenario</t>
        </is>
      </c>
    </row>
    <row r="119">
      <c r="A119" s="8" t="inlineStr">
        <is>
          <t>AOV — escenario activo</t>
        </is>
      </c>
      <c r="B119" s="15">
        <f>B44*B118</f>
        <v/>
      </c>
      <c r="C119" s="10" t="inlineStr">
        <is>
          <t>€</t>
        </is>
      </c>
      <c r="D119" s="11">
        <f> AOV base × multiplicador de escenario</f>
        <v/>
      </c>
    </row>
    <row r="120">
      <c r="A120" s="8" t="inlineStr">
        <is>
          <t>Crecimiento mensual de Ads — escenario activo</t>
        </is>
      </c>
      <c r="B120" s="23">
        <f>CHOOSE(B115,Escenarios!$B$8,Escenarios!$C$8,Escenarios!$D$8)</f>
        <v/>
      </c>
      <c r="C120" s="10" t="inlineStr">
        <is>
          <t>%/mes</t>
        </is>
      </c>
      <c r="D120" s="11" t="inlineStr">
        <is>
          <t>CHOOSE según selector de escenario</t>
        </is>
      </c>
    </row>
    <row r="121">
      <c r="A121" s="8" t="inlineStr">
        <is>
          <t>Techo mensual de Ads — escenario activo</t>
        </is>
      </c>
      <c r="B121" s="27">
        <f>CHOOSE(B115,Escenarios!$B$9,Escenarios!$C$9,Escenarios!$D$9)</f>
        <v/>
      </c>
      <c r="C121" s="10" t="inlineStr">
        <is>
          <t>€/mes</t>
        </is>
      </c>
      <c r="D121" s="11" t="inlineStr">
        <is>
          <t>CHOOSE según selector de escenario</t>
        </is>
      </c>
    </row>
    <row r="122">
      <c r="A122" s="8" t="inlineStr">
        <is>
          <t>Tasa de suscripción — escenario activo</t>
        </is>
      </c>
      <c r="B122" s="23">
        <f>CHOOSE(B115,Escenarios!$B$10,Escenarios!$C$10,Escenarios!$D$10)</f>
        <v/>
      </c>
      <c r="C122" s="10" t="inlineStr">
        <is>
          <t>%</t>
        </is>
      </c>
      <c r="D122" s="11" t="inlineStr">
        <is>
          <t>CHOOSE según selector de escenario</t>
        </is>
      </c>
    </row>
    <row r="123">
      <c r="A123" s="8" t="inlineStr">
        <is>
          <t>Repetición de compra 90 días — escenario activo</t>
        </is>
      </c>
      <c r="B123" s="23">
        <f>CHOOSE(B115,Escenarios!$B$11,Escenarios!$C$11,Escenarios!$D$11)</f>
        <v/>
      </c>
      <c r="C123" s="10" t="inlineStr">
        <is>
          <t>%</t>
        </is>
      </c>
      <c r="D123" s="11" t="inlineStr">
        <is>
          <t>CHOOSE según selector de escenario</t>
        </is>
      </c>
    </row>
    <row r="124">
      <c r="A124" s="7" t="n"/>
      <c r="B124" s="6" t="n"/>
      <c r="C124" s="6" t="n"/>
      <c r="D124" s="7" t="n"/>
    </row>
  </sheetData>
  <mergeCells count="14">
    <mergeCell ref="A9:H9"/>
    <mergeCell ref="A1:H1"/>
    <mergeCell ref="A78:H78"/>
    <mergeCell ref="A105:H105"/>
    <mergeCell ref="A55:H55"/>
    <mergeCell ref="A114:H114"/>
    <mergeCell ref="A95:H95"/>
    <mergeCell ref="A82:H82"/>
    <mergeCell ref="A28:H28"/>
    <mergeCell ref="A36:H36"/>
    <mergeCell ref="A66:H66"/>
    <mergeCell ref="A5:H5"/>
    <mergeCell ref="A110:H110"/>
    <mergeCell ref="A17:H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9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9" customWidth="1" min="12" max="12"/>
    <col width="9" customWidth="1" min="13" max="13"/>
    <col width="9" customWidth="1" min="14" max="14"/>
    <col width="11" customWidth="1" min="15" max="15"/>
    <col width="11" customWidth="1" min="16" max="16"/>
    <col width="10" customWidth="1" min="17" max="17"/>
    <col width="10" customWidth="1" min="18" max="18"/>
    <col width="10" customWidth="1" min="19" max="19"/>
    <col width="10" customWidth="1" min="20" max="20"/>
    <col width="9" customWidth="1" min="21" max="21"/>
    <col width="9" customWidth="1" min="22" max="22"/>
    <col width="9" customWidth="1" min="23" max="23"/>
    <col width="9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1" customWidth="1" min="30" max="30"/>
  </cols>
  <sheetData>
    <row r="1">
      <c r="A1" s="1" t="inlineStr">
        <is>
          <t>NOCTA — Unit economics por SKU (Corea vs. China)</t>
        </is>
      </c>
    </row>
    <row r="2">
      <c r="A2" s="2" t="inlineStr">
        <is>
          <t>Costes de fábrica a nivel de pack completo (no por pieza individual). Los bundles suman el coste de sus componentes.</t>
        </is>
      </c>
    </row>
    <row r="4" ht="42" customHeight="1">
      <c r="A4" s="28" t="inlineStr">
        <is>
          <t>SKU</t>
        </is>
      </c>
      <c r="B4" s="28" t="inlineStr">
        <is>
          <t>Tipo</t>
        </is>
      </c>
      <c r="C4" s="28" t="inlineStr">
        <is>
          <t>Uds/
pack</t>
        </is>
      </c>
      <c r="D4" s="28" t="inlineStr">
        <is>
          <t>PVP
con IVA</t>
        </is>
      </c>
      <c r="E4" s="28" t="inlineStr">
        <is>
          <t>PVP
sin IVA</t>
        </is>
      </c>
      <c r="F4" s="28" t="inlineStr">
        <is>
          <t>Coste KR
mín ($)</t>
        </is>
      </c>
      <c r="G4" s="28" t="inlineStr">
        <is>
          <t>Coste KR
máx ($)</t>
        </is>
      </c>
      <c r="H4" s="28" t="inlineStr">
        <is>
          <t>Coste KR
medio ($)</t>
        </is>
      </c>
      <c r="I4" s="28" t="inlineStr">
        <is>
          <t>Coste CN
mín ($)</t>
        </is>
      </c>
      <c r="J4" s="28" t="inlineStr">
        <is>
          <t>Coste CN
máx ($)</t>
        </is>
      </c>
      <c r="K4" s="28" t="inlineStr">
        <is>
          <t>Coste CN
medio ($)</t>
        </is>
      </c>
      <c r="L4" s="28" t="inlineStr">
        <is>
          <t>Packaging
($)</t>
        </is>
      </c>
      <c r="M4" s="28" t="inlineStr">
        <is>
          <t>Troquel
($)</t>
        </is>
      </c>
      <c r="N4" s="28" t="inlineStr">
        <is>
          <t>Flete
(€)</t>
        </is>
      </c>
      <c r="O4" s="28" t="inlineStr">
        <is>
          <t>Desembar-
cado KR (€)</t>
        </is>
      </c>
      <c r="P4" s="28" t="inlineStr">
        <is>
          <t>Desembar-
cado CN (€)</t>
        </is>
      </c>
      <c r="Q4" s="28" t="inlineStr">
        <is>
          <t>Margen
bruto KR (€)</t>
        </is>
      </c>
      <c r="R4" s="28" t="inlineStr">
        <is>
          <t>Margen
bruto KR (%)</t>
        </is>
      </c>
      <c r="S4" s="28" t="inlineStr">
        <is>
          <t>Margen
bruto CN (€)</t>
        </is>
      </c>
      <c r="T4" s="28" t="inlineStr">
        <is>
          <t>Margen
bruto CN (%)</t>
        </is>
      </c>
      <c r="U4" s="28" t="inlineStr">
        <is>
          <t>Pasarela
(€)</t>
        </is>
      </c>
      <c r="V4" s="28" t="inlineStr">
        <is>
          <t>Envío
(€)</t>
        </is>
      </c>
      <c r="W4" s="28" t="inlineStr">
        <is>
          <t>Pick&amp;pack
(€)</t>
        </is>
      </c>
      <c r="X4" s="28" t="inlineStr">
        <is>
          <t>Pack.
envío (€)</t>
        </is>
      </c>
      <c r="Y4" s="28" t="inlineStr">
        <is>
          <t>Devol.
KR (€)</t>
        </is>
      </c>
      <c r="Z4" s="28" t="inlineStr">
        <is>
          <t>Margen
contrib. KR (€)</t>
        </is>
      </c>
      <c r="AA4" s="28" t="inlineStr">
        <is>
          <t>Margen
contrib. KR (%)</t>
        </is>
      </c>
      <c r="AB4" s="28" t="inlineStr">
        <is>
          <t>Devol.
CN (€)</t>
        </is>
      </c>
      <c r="AC4" s="28" t="inlineStr">
        <is>
          <t>Margen
contrib. CN (€)</t>
        </is>
      </c>
      <c r="AD4" s="28" t="inlineStr">
        <is>
          <t>Mix ventas
(% pedidos)</t>
        </is>
      </c>
    </row>
    <row r="5">
      <c r="A5" s="29" t="inlineStr">
        <is>
          <t>1. Parches nariz (8 uds)</t>
        </is>
      </c>
      <c r="B5" s="29" t="inlineStr">
        <is>
          <t>Parche</t>
        </is>
      </c>
      <c r="C5" s="30" t="n">
        <v>8</v>
      </c>
      <c r="D5" s="31" t="n">
        <v>16.95</v>
      </c>
      <c r="E5" s="32">
        <f>D5/(1+Supuestos!$B$7)</f>
        <v/>
      </c>
      <c r="F5" s="33" t="n">
        <v>2.4</v>
      </c>
      <c r="G5" s="33" t="n">
        <v>4.8</v>
      </c>
      <c r="H5" s="34">
        <f>AVERAGE(F5:G5)</f>
        <v/>
      </c>
      <c r="I5" s="33" t="n">
        <v>1.2</v>
      </c>
      <c r="J5" s="33" t="n">
        <v>1.68</v>
      </c>
      <c r="K5" s="34">
        <f>AVERAGE(I5:J5)</f>
        <v/>
      </c>
      <c r="L5" s="35">
        <f>Supuestos!$B$58</f>
        <v/>
      </c>
      <c r="M5" s="35">
        <f>IF(B5="Parche",Supuestos!$B$61*C5,0)</f>
        <v/>
      </c>
      <c r="N5" s="36">
        <f>IF(B5="Parche",Supuestos!$B$62*C5,Supuestos!$B$62)</f>
        <v/>
      </c>
      <c r="O5" s="32">
        <f>(H5+L5+M5)*Supuestos!$B$6*(1+Supuestos!$B$63)+N5</f>
        <v/>
      </c>
      <c r="P5" s="32">
        <f>(K5+L5+M5)*Supuestos!$B$6*(1+Supuestos!$B$64)+N5</f>
        <v/>
      </c>
      <c r="Q5" s="32">
        <f>E5-O5</f>
        <v/>
      </c>
      <c r="R5" s="37">
        <f>Q5/E5</f>
        <v/>
      </c>
      <c r="S5" s="32">
        <f>E5-P5</f>
        <v/>
      </c>
      <c r="T5" s="37">
        <f>S5/E5</f>
        <v/>
      </c>
      <c r="U5" s="36">
        <f>D5*Supuestos!$B$12+Supuestos!$B$13</f>
        <v/>
      </c>
      <c r="V5" s="36">
        <f>IF(D5&gt;=Supuestos!$B$75,Supuestos!$B$26,0)</f>
        <v/>
      </c>
      <c r="W5" s="36">
        <f>Supuestos!$B$31</f>
        <v/>
      </c>
      <c r="X5" s="36">
        <f>Supuestos!$B$33</f>
        <v/>
      </c>
      <c r="Y5" s="36">
        <f>-Supuestos!$B$34*Q5</f>
        <v/>
      </c>
      <c r="Z5" s="32">
        <f>Q5-U5-V5-W5-X5+Y5</f>
        <v/>
      </c>
      <c r="AA5" s="37">
        <f>Z5/E5</f>
        <v/>
      </c>
      <c r="AB5" s="36">
        <f>-Supuestos!$B$34*S5</f>
        <v/>
      </c>
      <c r="AC5" s="32">
        <f>S5-U5-V5-W5-X5+AB5</f>
        <v/>
      </c>
      <c r="AD5" s="38" t="n">
        <v>0.22</v>
      </c>
    </row>
    <row r="6">
      <c r="A6" s="29" t="inlineStr">
        <is>
          <t>2. Parches granos (36 pts)</t>
        </is>
      </c>
      <c r="B6" s="29" t="inlineStr">
        <is>
          <t>Parche</t>
        </is>
      </c>
      <c r="C6" s="30" t="n">
        <v>36</v>
      </c>
      <c r="D6" s="31" t="n">
        <v>15.95</v>
      </c>
      <c r="E6" s="32">
        <f>D6/(1+Supuestos!$B$7)</f>
        <v/>
      </c>
      <c r="F6" s="33" t="n">
        <v>0.5</v>
      </c>
      <c r="G6" s="33" t="n">
        <v>0.75</v>
      </c>
      <c r="H6" s="34">
        <f>AVERAGE(F6:G6)</f>
        <v/>
      </c>
      <c r="I6" s="33" t="n">
        <v>0.9</v>
      </c>
      <c r="J6" s="33" t="n">
        <v>1.3</v>
      </c>
      <c r="K6" s="34">
        <f>AVERAGE(I6:J6)</f>
        <v/>
      </c>
      <c r="L6" s="35">
        <f>Supuestos!$B$58</f>
        <v/>
      </c>
      <c r="M6" s="35">
        <f>IF(B6="Parche",Supuestos!$B$61*C6,0)</f>
        <v/>
      </c>
      <c r="N6" s="36">
        <f>IF(B6="Parche",Supuestos!$B$62*C6,Supuestos!$B$62)</f>
        <v/>
      </c>
      <c r="O6" s="32">
        <f>(H6+L6+M6)*Supuestos!$B$6*(1+Supuestos!$B$63)+N6</f>
        <v/>
      </c>
      <c r="P6" s="32">
        <f>(K6+L6+M6)*Supuestos!$B$6*(1+Supuestos!$B$64)+N6</f>
        <v/>
      </c>
      <c r="Q6" s="32">
        <f>E6-O6</f>
        <v/>
      </c>
      <c r="R6" s="37">
        <f>Q6/E6</f>
        <v/>
      </c>
      <c r="S6" s="32">
        <f>E6-P6</f>
        <v/>
      </c>
      <c r="T6" s="37">
        <f>S6/E6</f>
        <v/>
      </c>
      <c r="U6" s="36">
        <f>D6*Supuestos!$B$12+Supuestos!$B$13</f>
        <v/>
      </c>
      <c r="V6" s="36">
        <f>IF(D6&gt;=Supuestos!$B$75,Supuestos!$B$26,0)</f>
        <v/>
      </c>
      <c r="W6" s="36">
        <f>Supuestos!$B$31</f>
        <v/>
      </c>
      <c r="X6" s="36">
        <f>Supuestos!$B$33</f>
        <v/>
      </c>
      <c r="Y6" s="36">
        <f>-Supuestos!$B$34*Q6</f>
        <v/>
      </c>
      <c r="Z6" s="32">
        <f>Q6-U6-V6-W6-X6+Y6</f>
        <v/>
      </c>
      <c r="AA6" s="37">
        <f>Z6/E6</f>
        <v/>
      </c>
      <c r="AB6" s="36">
        <f>-Supuestos!$B$34*S6</f>
        <v/>
      </c>
      <c r="AC6" s="32">
        <f>S6-U6-V6-W6-X6+AB6</f>
        <v/>
      </c>
      <c r="AD6" s="38" t="n">
        <v>0.12</v>
      </c>
    </row>
    <row r="7">
      <c r="A7" s="29" t="inlineStr">
        <is>
          <t>3. Parches superficie (10 uds)</t>
        </is>
      </c>
      <c r="B7" s="29" t="inlineStr">
        <is>
          <t>Parche</t>
        </is>
      </c>
      <c r="C7" s="30" t="n">
        <v>10</v>
      </c>
      <c r="D7" s="31" t="n">
        <v>15.95</v>
      </c>
      <c r="E7" s="32">
        <f>D7/(1+Supuestos!$B$7)</f>
        <v/>
      </c>
      <c r="F7" s="33" t="n">
        <v>2</v>
      </c>
      <c r="G7" s="33" t="n">
        <v>4</v>
      </c>
      <c r="H7" s="34">
        <f>AVERAGE(F7:G7)</f>
        <v/>
      </c>
      <c r="I7" s="33" t="n">
        <v>1.3</v>
      </c>
      <c r="J7" s="33" t="n">
        <v>2</v>
      </c>
      <c r="K7" s="34">
        <f>AVERAGE(I7:J7)</f>
        <v/>
      </c>
      <c r="L7" s="35">
        <f>Supuestos!$B$58</f>
        <v/>
      </c>
      <c r="M7" s="35">
        <f>IF(B7="Parche",Supuestos!$B$61*C7,0)</f>
        <v/>
      </c>
      <c r="N7" s="36">
        <f>IF(B7="Parche",Supuestos!$B$62*C7,Supuestos!$B$62)</f>
        <v/>
      </c>
      <c r="O7" s="32">
        <f>(H7+L7+M7)*Supuestos!$B$6*(1+Supuestos!$B$63)+N7</f>
        <v/>
      </c>
      <c r="P7" s="32">
        <f>(K7+L7+M7)*Supuestos!$B$6*(1+Supuestos!$B$64)+N7</f>
        <v/>
      </c>
      <c r="Q7" s="32">
        <f>E7-O7</f>
        <v/>
      </c>
      <c r="R7" s="37">
        <f>Q7/E7</f>
        <v/>
      </c>
      <c r="S7" s="32">
        <f>E7-P7</f>
        <v/>
      </c>
      <c r="T7" s="37">
        <f>S7/E7</f>
        <v/>
      </c>
      <c r="U7" s="36">
        <f>D7*Supuestos!$B$12+Supuestos!$B$13</f>
        <v/>
      </c>
      <c r="V7" s="36">
        <f>IF(D7&gt;=Supuestos!$B$75,Supuestos!$B$26,0)</f>
        <v/>
      </c>
      <c r="W7" s="36">
        <f>Supuestos!$B$31</f>
        <v/>
      </c>
      <c r="X7" s="36">
        <f>Supuestos!$B$33</f>
        <v/>
      </c>
      <c r="Y7" s="36">
        <f>-Supuestos!$B$34*Q7</f>
        <v/>
      </c>
      <c r="Z7" s="32">
        <f>Q7-U7-V7-W7-X7+Y7</f>
        <v/>
      </c>
      <c r="AA7" s="37">
        <f>Z7/E7</f>
        <v/>
      </c>
      <c r="AB7" s="36">
        <f>-Supuestos!$B$34*S7</f>
        <v/>
      </c>
      <c r="AC7" s="32">
        <f>S7-U7-V7-W7-X7+AB7</f>
        <v/>
      </c>
      <c r="AD7" s="38" t="n">
        <v>0.08</v>
      </c>
    </row>
    <row r="8">
      <c r="A8" s="29" t="inlineStr">
        <is>
          <t>4. Parches barbilla (8 uds)</t>
        </is>
      </c>
      <c r="B8" s="29" t="inlineStr">
        <is>
          <t>Parche</t>
        </is>
      </c>
      <c r="C8" s="30" t="n">
        <v>8</v>
      </c>
      <c r="D8" s="31" t="n">
        <v>16.95</v>
      </c>
      <c r="E8" s="32">
        <f>D8/(1+Supuestos!$B$7)</f>
        <v/>
      </c>
      <c r="F8" s="33" t="n">
        <v>2.4</v>
      </c>
      <c r="G8" s="33" t="n">
        <v>4.8</v>
      </c>
      <c r="H8" s="34">
        <f>AVERAGE(F8:G8)</f>
        <v/>
      </c>
      <c r="I8" s="33" t="n">
        <v>1.2</v>
      </c>
      <c r="J8" s="33" t="n">
        <v>1.68</v>
      </c>
      <c r="K8" s="34">
        <f>AVERAGE(I8:J8)</f>
        <v/>
      </c>
      <c r="L8" s="35">
        <f>Supuestos!$B$58</f>
        <v/>
      </c>
      <c r="M8" s="35">
        <f>IF(B8="Parche",Supuestos!$B$61*C8,0)</f>
        <v/>
      </c>
      <c r="N8" s="36">
        <f>IF(B8="Parche",Supuestos!$B$62*C8,Supuestos!$B$62)</f>
        <v/>
      </c>
      <c r="O8" s="32">
        <f>(H8+L8+M8)*Supuestos!$B$6*(1+Supuestos!$B$63)+N8</f>
        <v/>
      </c>
      <c r="P8" s="32">
        <f>(K8+L8+M8)*Supuestos!$B$6*(1+Supuestos!$B$64)+N8</f>
        <v/>
      </c>
      <c r="Q8" s="32">
        <f>E8-O8</f>
        <v/>
      </c>
      <c r="R8" s="37">
        <f>Q8/E8</f>
        <v/>
      </c>
      <c r="S8" s="32">
        <f>E8-P8</f>
        <v/>
      </c>
      <c r="T8" s="37">
        <f>S8/E8</f>
        <v/>
      </c>
      <c r="U8" s="36">
        <f>D8*Supuestos!$B$12+Supuestos!$B$13</f>
        <v/>
      </c>
      <c r="V8" s="36">
        <f>IF(D8&gt;=Supuestos!$B$75,Supuestos!$B$26,0)</f>
        <v/>
      </c>
      <c r="W8" s="36">
        <f>Supuestos!$B$31</f>
        <v/>
      </c>
      <c r="X8" s="36">
        <f>Supuestos!$B$33</f>
        <v/>
      </c>
      <c r="Y8" s="36">
        <f>-Supuestos!$B$34*Q8</f>
        <v/>
      </c>
      <c r="Z8" s="32">
        <f>Q8-U8-V8-W8-X8+Y8</f>
        <v/>
      </c>
      <c r="AA8" s="37">
        <f>Z8/E8</f>
        <v/>
      </c>
      <c r="AB8" s="36">
        <f>-Supuestos!$B$34*S8</f>
        <v/>
      </c>
      <c r="AC8" s="32">
        <f>S8-U8-V8-W8-X8+AB8</f>
        <v/>
      </c>
      <c r="AD8" s="38" t="n">
        <v>0.06</v>
      </c>
    </row>
    <row r="9">
      <c r="A9" s="29" t="inlineStr">
        <is>
          <t>5. Parches frente (5 uds)</t>
        </is>
      </c>
      <c r="B9" s="29" t="inlineStr">
        <is>
          <t>Parche</t>
        </is>
      </c>
      <c r="C9" s="30" t="n">
        <v>5</v>
      </c>
      <c r="D9" s="31" t="n">
        <v>16.95</v>
      </c>
      <c r="E9" s="32">
        <f>D9/(1+Supuestos!$B$7)</f>
        <v/>
      </c>
      <c r="F9" s="33" t="n">
        <v>1.5</v>
      </c>
      <c r="G9" s="33" t="n">
        <v>3</v>
      </c>
      <c r="H9" s="34">
        <f>AVERAGE(F9:G9)</f>
        <v/>
      </c>
      <c r="I9" s="33" t="n">
        <v>0.75</v>
      </c>
      <c r="J9" s="33" t="n">
        <v>1.05</v>
      </c>
      <c r="K9" s="34">
        <f>AVERAGE(I9:J9)</f>
        <v/>
      </c>
      <c r="L9" s="35">
        <f>Supuestos!$B$58</f>
        <v/>
      </c>
      <c r="M9" s="35">
        <f>IF(B9="Parche",Supuestos!$B$61*C9,0)</f>
        <v/>
      </c>
      <c r="N9" s="36">
        <f>IF(B9="Parche",Supuestos!$B$62*C9,Supuestos!$B$62)</f>
        <v/>
      </c>
      <c r="O9" s="32">
        <f>(H9+L9+M9)*Supuestos!$B$6*(1+Supuestos!$B$63)+N9</f>
        <v/>
      </c>
      <c r="P9" s="32">
        <f>(K9+L9+M9)*Supuestos!$B$6*(1+Supuestos!$B$64)+N9</f>
        <v/>
      </c>
      <c r="Q9" s="32">
        <f>E9-O9</f>
        <v/>
      </c>
      <c r="R9" s="37">
        <f>Q9/E9</f>
        <v/>
      </c>
      <c r="S9" s="32">
        <f>E9-P9</f>
        <v/>
      </c>
      <c r="T9" s="37">
        <f>S9/E9</f>
        <v/>
      </c>
      <c r="U9" s="36">
        <f>D9*Supuestos!$B$12+Supuestos!$B$13</f>
        <v/>
      </c>
      <c r="V9" s="36">
        <f>IF(D9&gt;=Supuestos!$B$75,Supuestos!$B$26,0)</f>
        <v/>
      </c>
      <c r="W9" s="36">
        <f>Supuestos!$B$31</f>
        <v/>
      </c>
      <c r="X9" s="36">
        <f>Supuestos!$B$33</f>
        <v/>
      </c>
      <c r="Y9" s="36">
        <f>-Supuestos!$B$34*Q9</f>
        <v/>
      </c>
      <c r="Z9" s="32">
        <f>Q9-U9-V9-W9-X9+Y9</f>
        <v/>
      </c>
      <c r="AA9" s="37">
        <f>Z9/E9</f>
        <v/>
      </c>
      <c r="AB9" s="36">
        <f>-Supuestos!$B$34*S9</f>
        <v/>
      </c>
      <c r="AC9" s="32">
        <f>S9-U9-V9-W9-X9+AB9</f>
        <v/>
      </c>
      <c r="AD9" s="38" t="n">
        <v>0.06</v>
      </c>
    </row>
    <row r="10">
      <c r="A10" s="29" t="inlineStr">
        <is>
          <t>6. Exfoliante salicílico 2% 110ml</t>
        </is>
      </c>
      <c r="B10" s="29" t="inlineStr">
        <is>
          <t>Líquido</t>
        </is>
      </c>
      <c r="C10" s="30" t="n">
        <v>1</v>
      </c>
      <c r="D10" s="31" t="n">
        <v>32</v>
      </c>
      <c r="E10" s="32">
        <f>D10/(1+Supuestos!$B$7)</f>
        <v/>
      </c>
      <c r="F10" s="33" t="n">
        <v>2</v>
      </c>
      <c r="G10" s="33" t="n">
        <v>5</v>
      </c>
      <c r="H10" s="34">
        <f>AVERAGE(F10:G10)</f>
        <v/>
      </c>
      <c r="I10" s="33" t="n">
        <v>1</v>
      </c>
      <c r="J10" s="33" t="n">
        <v>2.5</v>
      </c>
      <c r="K10" s="34">
        <f>AVERAGE(I10:J10)</f>
        <v/>
      </c>
      <c r="L10" s="35">
        <f>Supuestos!$B$58</f>
        <v/>
      </c>
      <c r="M10" s="35">
        <f>IF(B10="Parche",Supuestos!$B$61*C10,0)</f>
        <v/>
      </c>
      <c r="N10" s="36">
        <f>IF(B10="Parche",Supuestos!$B$62*C10,Supuestos!$B$62)</f>
        <v/>
      </c>
      <c r="O10" s="32">
        <f>(H10+L10+M10)*Supuestos!$B$6*(1+Supuestos!$B$63)+N10</f>
        <v/>
      </c>
      <c r="P10" s="32">
        <f>(K10+L10+M10)*Supuestos!$B$6*(1+Supuestos!$B$64)+N10</f>
        <v/>
      </c>
      <c r="Q10" s="32">
        <f>E10-O10</f>
        <v/>
      </c>
      <c r="R10" s="37">
        <f>Q10/E10</f>
        <v/>
      </c>
      <c r="S10" s="32">
        <f>E10-P10</f>
        <v/>
      </c>
      <c r="T10" s="37">
        <f>S10/E10</f>
        <v/>
      </c>
      <c r="U10" s="36">
        <f>D10*Supuestos!$B$12+Supuestos!$B$13</f>
        <v/>
      </c>
      <c r="V10" s="36">
        <f>IF(D10&gt;=Supuestos!$B$75,Supuestos!$B$26,0)</f>
        <v/>
      </c>
      <c r="W10" s="36">
        <f>Supuestos!$B$31</f>
        <v/>
      </c>
      <c r="X10" s="36">
        <f>Supuestos!$B$33</f>
        <v/>
      </c>
      <c r="Y10" s="36">
        <f>-Supuestos!$B$34*Q10</f>
        <v/>
      </c>
      <c r="Z10" s="32">
        <f>Q10-U10-V10-W10-X10+Y10</f>
        <v/>
      </c>
      <c r="AA10" s="37">
        <f>Z10/E10</f>
        <v/>
      </c>
      <c r="AB10" s="36">
        <f>-Supuestos!$B$34*S10</f>
        <v/>
      </c>
      <c r="AC10" s="32">
        <f>S10-U10-V10-W10-X10+AB10</f>
        <v/>
      </c>
      <c r="AD10" s="38" t="n">
        <v>0.1</v>
      </c>
    </row>
    <row r="11">
      <c r="A11" s="29" t="inlineStr">
        <is>
          <t>7. Sérum niacinamida 30ml</t>
        </is>
      </c>
      <c r="B11" s="29" t="inlineStr">
        <is>
          <t>Líquido</t>
        </is>
      </c>
      <c r="C11" s="30" t="n">
        <v>1</v>
      </c>
      <c r="D11" s="31" t="n">
        <v>29</v>
      </c>
      <c r="E11" s="32">
        <f>D11/(1+Supuestos!$B$7)</f>
        <v/>
      </c>
      <c r="F11" s="33" t="n">
        <v>2.5</v>
      </c>
      <c r="G11" s="33" t="n">
        <v>5.5</v>
      </c>
      <c r="H11" s="34">
        <f>AVERAGE(F11:G11)</f>
        <v/>
      </c>
      <c r="I11" s="33" t="n">
        <v>1</v>
      </c>
      <c r="J11" s="33" t="n">
        <v>1.6</v>
      </c>
      <c r="K11" s="34">
        <f>AVERAGE(I11:J11)</f>
        <v/>
      </c>
      <c r="L11" s="35">
        <f>Supuestos!$B$58</f>
        <v/>
      </c>
      <c r="M11" s="35">
        <f>IF(B11="Parche",Supuestos!$B$61*C11,0)</f>
        <v/>
      </c>
      <c r="N11" s="36">
        <f>IF(B11="Parche",Supuestos!$B$62*C11,Supuestos!$B$62)</f>
        <v/>
      </c>
      <c r="O11" s="32">
        <f>(H11+L11+M11)*Supuestos!$B$6*(1+Supuestos!$B$63)+N11</f>
        <v/>
      </c>
      <c r="P11" s="32">
        <f>(K11+L11+M11)*Supuestos!$B$6*(1+Supuestos!$B$64)+N11</f>
        <v/>
      </c>
      <c r="Q11" s="32">
        <f>E11-O11</f>
        <v/>
      </c>
      <c r="R11" s="37">
        <f>Q11/E11</f>
        <v/>
      </c>
      <c r="S11" s="32">
        <f>E11-P11</f>
        <v/>
      </c>
      <c r="T11" s="37">
        <f>S11/E11</f>
        <v/>
      </c>
      <c r="U11" s="36">
        <f>D11*Supuestos!$B$12+Supuestos!$B$13</f>
        <v/>
      </c>
      <c r="V11" s="36">
        <f>IF(D11&gt;=Supuestos!$B$75,Supuestos!$B$26,0)</f>
        <v/>
      </c>
      <c r="W11" s="36">
        <f>Supuestos!$B$31</f>
        <v/>
      </c>
      <c r="X11" s="36">
        <f>Supuestos!$B$33</f>
        <v/>
      </c>
      <c r="Y11" s="36">
        <f>-Supuestos!$B$34*Q11</f>
        <v/>
      </c>
      <c r="Z11" s="32">
        <f>Q11-U11-V11-W11-X11+Y11</f>
        <v/>
      </c>
      <c r="AA11" s="37">
        <f>Z11/E11</f>
        <v/>
      </c>
      <c r="AB11" s="36">
        <f>-Supuestos!$B$34*S11</f>
        <v/>
      </c>
      <c r="AC11" s="32">
        <f>S11-U11-V11-W11-X11+AB11</f>
        <v/>
      </c>
      <c r="AD11" s="38" t="n">
        <v>0.1</v>
      </c>
    </row>
    <row r="12">
      <c r="A12" s="29" t="inlineStr">
        <is>
          <t>8. Peel-off colágeno 70ml</t>
        </is>
      </c>
      <c r="B12" s="29" t="inlineStr">
        <is>
          <t>Líquido</t>
        </is>
      </c>
      <c r="C12" s="30" t="n">
        <v>1</v>
      </c>
      <c r="D12" s="31" t="n">
        <v>29</v>
      </c>
      <c r="E12" s="32">
        <f>D12/(1+Supuestos!$B$7)</f>
        <v/>
      </c>
      <c r="F12" s="33" t="n">
        <v>2</v>
      </c>
      <c r="G12" s="33" t="n">
        <v>4</v>
      </c>
      <c r="H12" s="34">
        <f>AVERAGE(F12:G12)</f>
        <v/>
      </c>
      <c r="I12" s="33" t="n">
        <v>1</v>
      </c>
      <c r="J12" s="33" t="n">
        <v>2</v>
      </c>
      <c r="K12" s="34">
        <f>AVERAGE(I12:J12)</f>
        <v/>
      </c>
      <c r="L12" s="35">
        <f>Supuestos!$B$58</f>
        <v/>
      </c>
      <c r="M12" s="35">
        <f>IF(B12="Parche",Supuestos!$B$61*C12,0)</f>
        <v/>
      </c>
      <c r="N12" s="36">
        <f>IF(B12="Parche",Supuestos!$B$62*C12,Supuestos!$B$62)</f>
        <v/>
      </c>
      <c r="O12" s="32">
        <f>(H12+L12+M12)*Supuestos!$B$6*(1+Supuestos!$B$63)+N12</f>
        <v/>
      </c>
      <c r="P12" s="32">
        <f>(K12+L12+M12)*Supuestos!$B$6*(1+Supuestos!$B$64)+N12</f>
        <v/>
      </c>
      <c r="Q12" s="32">
        <f>E12-O12</f>
        <v/>
      </c>
      <c r="R12" s="37">
        <f>Q12/E12</f>
        <v/>
      </c>
      <c r="S12" s="32">
        <f>E12-P12</f>
        <v/>
      </c>
      <c r="T12" s="37">
        <f>S12/E12</f>
        <v/>
      </c>
      <c r="U12" s="36">
        <f>D12*Supuestos!$B$12+Supuestos!$B$13</f>
        <v/>
      </c>
      <c r="V12" s="36">
        <f>IF(D12&gt;=Supuestos!$B$75,Supuestos!$B$26,0)</f>
        <v/>
      </c>
      <c r="W12" s="36">
        <f>Supuestos!$B$31</f>
        <v/>
      </c>
      <c r="X12" s="36">
        <f>Supuestos!$B$33</f>
        <v/>
      </c>
      <c r="Y12" s="36">
        <f>-Supuestos!$B$34*Q12</f>
        <v/>
      </c>
      <c r="Z12" s="32">
        <f>Q12-U12-V12-W12-X12+Y12</f>
        <v/>
      </c>
      <c r="AA12" s="37">
        <f>Z12/E12</f>
        <v/>
      </c>
      <c r="AB12" s="36">
        <f>-Supuestos!$B$34*S12</f>
        <v/>
      </c>
      <c r="AC12" s="32">
        <f>S12-U12-V12-W12-X12+AB12</f>
        <v/>
      </c>
      <c r="AD12" s="38" t="n">
        <v>0.08</v>
      </c>
    </row>
    <row r="13">
      <c r="A13" s="29" t="inlineStr">
        <is>
          <t>9. Pack 4 sheet masks</t>
        </is>
      </c>
      <c r="B13" s="29" t="inlineStr">
        <is>
          <t>Líquido</t>
        </is>
      </c>
      <c r="C13" s="30" t="n">
        <v>4</v>
      </c>
      <c r="D13" s="31" t="n">
        <v>15</v>
      </c>
      <c r="E13" s="32">
        <f>D13/(1+Supuestos!$B$7)</f>
        <v/>
      </c>
      <c r="F13" s="33" t="n">
        <v>2</v>
      </c>
      <c r="G13" s="33" t="n">
        <v>8</v>
      </c>
      <c r="H13" s="34">
        <f>AVERAGE(F13:G13)</f>
        <v/>
      </c>
      <c r="I13" s="33" t="n">
        <v>0.6</v>
      </c>
      <c r="J13" s="33" t="n">
        <v>1.6</v>
      </c>
      <c r="K13" s="34">
        <f>AVERAGE(I13:J13)</f>
        <v/>
      </c>
      <c r="L13" s="35">
        <f>Supuestos!$B$58</f>
        <v/>
      </c>
      <c r="M13" s="35">
        <f>IF(B13="Parche",Supuestos!$B$61*C13,0)</f>
        <v/>
      </c>
      <c r="N13" s="36">
        <f>IF(B13="Parche",Supuestos!$B$62*C13,Supuestos!$B$62)</f>
        <v/>
      </c>
      <c r="O13" s="32">
        <f>(H13+L13+M13)*Supuestos!$B$6*(1+Supuestos!$B$63)+N13</f>
        <v/>
      </c>
      <c r="P13" s="32">
        <f>(K13+L13+M13)*Supuestos!$B$6*(1+Supuestos!$B$64)+N13</f>
        <v/>
      </c>
      <c r="Q13" s="32">
        <f>E13-O13</f>
        <v/>
      </c>
      <c r="R13" s="37">
        <f>Q13/E13</f>
        <v/>
      </c>
      <c r="S13" s="32">
        <f>E13-P13</f>
        <v/>
      </c>
      <c r="T13" s="37">
        <f>S13/E13</f>
        <v/>
      </c>
      <c r="U13" s="36">
        <f>D13*Supuestos!$B$12+Supuestos!$B$13</f>
        <v/>
      </c>
      <c r="V13" s="36">
        <f>IF(D13&gt;=Supuestos!$B$75,Supuestos!$B$26,0)</f>
        <v/>
      </c>
      <c r="W13" s="36">
        <f>Supuestos!$B$31</f>
        <v/>
      </c>
      <c r="X13" s="36">
        <f>Supuestos!$B$33</f>
        <v/>
      </c>
      <c r="Y13" s="36">
        <f>-Supuestos!$B$34*Q13</f>
        <v/>
      </c>
      <c r="Z13" s="32">
        <f>Q13-U13-V13-W13-X13+Y13</f>
        <v/>
      </c>
      <c r="AA13" s="37">
        <f>Z13/E13</f>
        <v/>
      </c>
      <c r="AB13" s="36">
        <f>-Supuestos!$B$34*S13</f>
        <v/>
      </c>
      <c r="AC13" s="32">
        <f>S13-U13-V13-W13-X13+AB13</f>
        <v/>
      </c>
      <c r="AD13" s="38" t="n">
        <v>0.06</v>
      </c>
    </row>
    <row r="14">
      <c r="A14" s="29" t="inlineStr">
        <is>
          <t>10. Tónico hialurónico 130ml</t>
        </is>
      </c>
      <c r="B14" s="29" t="inlineStr">
        <is>
          <t>Líquido</t>
        </is>
      </c>
      <c r="C14" s="30" t="n">
        <v>1</v>
      </c>
      <c r="D14" s="31" t="n">
        <v>25</v>
      </c>
      <c r="E14" s="32">
        <f>D14/(1+Supuestos!$B$7)</f>
        <v/>
      </c>
      <c r="F14" s="33" t="n">
        <v>1.5</v>
      </c>
      <c r="G14" s="33" t="n">
        <v>5</v>
      </c>
      <c r="H14" s="34">
        <f>AVERAGE(F14:G14)</f>
        <v/>
      </c>
      <c r="I14" s="33" t="n">
        <v>0.8</v>
      </c>
      <c r="J14" s="33" t="n">
        <v>2</v>
      </c>
      <c r="K14" s="34">
        <f>AVERAGE(I14:J14)</f>
        <v/>
      </c>
      <c r="L14" s="35">
        <f>Supuestos!$B$58</f>
        <v/>
      </c>
      <c r="M14" s="35">
        <f>IF(B14="Parche",Supuestos!$B$61*C14,0)</f>
        <v/>
      </c>
      <c r="N14" s="36">
        <f>IF(B14="Parche",Supuestos!$B$62*C14,Supuestos!$B$62)</f>
        <v/>
      </c>
      <c r="O14" s="32">
        <f>(H14+L14+M14)*Supuestos!$B$6*(1+Supuestos!$B$63)+N14</f>
        <v/>
      </c>
      <c r="P14" s="32">
        <f>(K14+L14+M14)*Supuestos!$B$6*(1+Supuestos!$B$64)+N14</f>
        <v/>
      </c>
      <c r="Q14" s="32">
        <f>E14-O14</f>
        <v/>
      </c>
      <c r="R14" s="37">
        <f>Q14/E14</f>
        <v/>
      </c>
      <c r="S14" s="32">
        <f>E14-P14</f>
        <v/>
      </c>
      <c r="T14" s="37">
        <f>S14/E14</f>
        <v/>
      </c>
      <c r="U14" s="36">
        <f>D14*Supuestos!$B$12+Supuestos!$B$13</f>
        <v/>
      </c>
      <c r="V14" s="36">
        <f>IF(D14&gt;=Supuestos!$B$75,Supuestos!$B$26,0)</f>
        <v/>
      </c>
      <c r="W14" s="36">
        <f>Supuestos!$B$31</f>
        <v/>
      </c>
      <c r="X14" s="36">
        <f>Supuestos!$B$33</f>
        <v/>
      </c>
      <c r="Y14" s="36">
        <f>-Supuestos!$B$34*Q14</f>
        <v/>
      </c>
      <c r="Z14" s="32">
        <f>Q14-U14-V14-W14-X14+Y14</f>
        <v/>
      </c>
      <c r="AA14" s="37">
        <f>Z14/E14</f>
        <v/>
      </c>
      <c r="AB14" s="36">
        <f>-Supuestos!$B$34*S14</f>
        <v/>
      </c>
      <c r="AC14" s="32">
        <f>S14-U14-V14-W14-X14+AB14</f>
        <v/>
      </c>
      <c r="AD14" s="38" t="n">
        <v>0.06</v>
      </c>
    </row>
    <row r="15">
      <c r="A15" s="29" t="inlineStr">
        <is>
          <t>Bundle Duo (nariz + exfoliante)</t>
        </is>
      </c>
      <c r="B15" s="29" t="inlineStr">
        <is>
          <t>Bundle</t>
        </is>
      </c>
      <c r="C15" s="30" t="n">
        <v>1</v>
      </c>
      <c r="D15" s="31" t="n">
        <v>44</v>
      </c>
      <c r="E15" s="32">
        <f>D15/(1+Supuestos!$B$7)</f>
        <v/>
      </c>
      <c r="F15" s="39" t="inlineStr">
        <is>
          <t>n/a (suma componentes)</t>
        </is>
      </c>
      <c r="G15" s="39" t="inlineStr">
        <is>
          <t>n/a</t>
        </is>
      </c>
      <c r="H15" s="35">
        <f>H5+H10</f>
        <v/>
      </c>
      <c r="I15" s="39" t="inlineStr">
        <is>
          <t>n/a</t>
        </is>
      </c>
      <c r="J15" s="39" t="inlineStr">
        <is>
          <t>n/a</t>
        </is>
      </c>
      <c r="K15" s="35">
        <f>K5+K10</f>
        <v/>
      </c>
      <c r="L15" s="35">
        <f>Supuestos!$B$58</f>
        <v/>
      </c>
      <c r="M15" s="35">
        <f>M5+M10</f>
        <v/>
      </c>
      <c r="N15" s="36">
        <f>N5+N10</f>
        <v/>
      </c>
      <c r="O15" s="32">
        <f>(H15+L15+M15)*Supuestos!$B$6*(1+Supuestos!$B$63)+N15</f>
        <v/>
      </c>
      <c r="P15" s="32">
        <f>(K15+L15+M15)*Supuestos!$B$6*(1+Supuestos!$B$64)+N15</f>
        <v/>
      </c>
      <c r="Q15" s="32">
        <f>E15-O15</f>
        <v/>
      </c>
      <c r="R15" s="37">
        <f>Q15/E15</f>
        <v/>
      </c>
      <c r="S15" s="32">
        <f>E15-P15</f>
        <v/>
      </c>
      <c r="T15" s="37">
        <f>S15/E15</f>
        <v/>
      </c>
      <c r="U15" s="36">
        <f>D15*Supuestos!$B$12+Supuestos!$B$13</f>
        <v/>
      </c>
      <c r="V15" s="36">
        <f>IF(D15&gt;=Supuestos!$B$75,Supuestos!$B$26,0)</f>
        <v/>
      </c>
      <c r="W15" s="36">
        <f>Supuestos!$B$31</f>
        <v/>
      </c>
      <c r="X15" s="36">
        <f>Supuestos!$B$33</f>
        <v/>
      </c>
      <c r="Y15" s="36">
        <f>-Supuestos!$B$34*Q15</f>
        <v/>
      </c>
      <c r="Z15" s="32">
        <f>Q15-U15-V15-W15-X15+Y15</f>
        <v/>
      </c>
      <c r="AA15" s="37">
        <f>Z15/E15</f>
        <v/>
      </c>
      <c r="AB15" s="36">
        <f>-Supuestos!$B$34*S15</f>
        <v/>
      </c>
      <c r="AC15" s="32">
        <f>S15-U15-V15-W15-X15+AB15</f>
        <v/>
      </c>
      <c r="AD15" s="38" t="n">
        <v>0.03</v>
      </c>
    </row>
    <row r="16">
      <c r="A16" s="29" t="inlineStr">
        <is>
          <t>Bundle T-Zone (frente + nariz + barbilla)</t>
        </is>
      </c>
      <c r="B16" s="29" t="inlineStr">
        <is>
          <t>Bundle</t>
        </is>
      </c>
      <c r="C16" s="30" t="n">
        <v>1</v>
      </c>
      <c r="D16" s="31" t="n">
        <v>44</v>
      </c>
      <c r="E16" s="32">
        <f>D16/(1+Supuestos!$B$7)</f>
        <v/>
      </c>
      <c r="F16" s="39" t="inlineStr">
        <is>
          <t>n/a (suma componentes)</t>
        </is>
      </c>
      <c r="G16" s="39" t="inlineStr">
        <is>
          <t>n/a</t>
        </is>
      </c>
      <c r="H16" s="35">
        <f>H9+H5+H8</f>
        <v/>
      </c>
      <c r="I16" s="39" t="inlineStr">
        <is>
          <t>n/a</t>
        </is>
      </c>
      <c r="J16" s="39" t="inlineStr">
        <is>
          <t>n/a</t>
        </is>
      </c>
      <c r="K16" s="35">
        <f>K9+K5+K8</f>
        <v/>
      </c>
      <c r="L16" s="35">
        <f>Supuestos!$B$58</f>
        <v/>
      </c>
      <c r="M16" s="35">
        <f>M9+M5+M8</f>
        <v/>
      </c>
      <c r="N16" s="36">
        <f>N9+N5+N8</f>
        <v/>
      </c>
      <c r="O16" s="32">
        <f>(H16+L16+M16)*Supuestos!$B$6*(1+Supuestos!$B$63)+N16</f>
        <v/>
      </c>
      <c r="P16" s="32">
        <f>(K16+L16+M16)*Supuestos!$B$6*(1+Supuestos!$B$64)+N16</f>
        <v/>
      </c>
      <c r="Q16" s="32">
        <f>E16-O16</f>
        <v/>
      </c>
      <c r="R16" s="37">
        <f>Q16/E16</f>
        <v/>
      </c>
      <c r="S16" s="32">
        <f>E16-P16</f>
        <v/>
      </c>
      <c r="T16" s="37">
        <f>S16/E16</f>
        <v/>
      </c>
      <c r="U16" s="36">
        <f>D16*Supuestos!$B$12+Supuestos!$B$13</f>
        <v/>
      </c>
      <c r="V16" s="36">
        <f>IF(D16&gt;=Supuestos!$B$75,Supuestos!$B$26,0)</f>
        <v/>
      </c>
      <c r="W16" s="36">
        <f>Supuestos!$B$31</f>
        <v/>
      </c>
      <c r="X16" s="36">
        <f>Supuestos!$B$33</f>
        <v/>
      </c>
      <c r="Y16" s="36">
        <f>-Supuestos!$B$34*Q16</f>
        <v/>
      </c>
      <c r="Z16" s="32">
        <f>Q16-U16-V16-W16-X16+Y16</f>
        <v/>
      </c>
      <c r="AA16" s="37">
        <f>Z16/E16</f>
        <v/>
      </c>
      <c r="AB16" s="36">
        <f>-Supuestos!$B$34*S16</f>
        <v/>
      </c>
      <c r="AC16" s="32">
        <f>S16-U16-V16-W16-X16+AB16</f>
        <v/>
      </c>
      <c r="AD16" s="38" t="n">
        <v>0.02</v>
      </c>
    </row>
    <row r="17">
      <c r="A17" s="29" t="inlineStr">
        <is>
          <t>Bundle Full Face (nariz+superficie+barbilla+frente+granos)</t>
        </is>
      </c>
      <c r="B17" s="29" t="inlineStr">
        <is>
          <t>Bundle</t>
        </is>
      </c>
      <c r="C17" s="30" t="n">
        <v>1</v>
      </c>
      <c r="D17" s="31" t="n">
        <v>69</v>
      </c>
      <c r="E17" s="32">
        <f>D17/(1+Supuestos!$B$7)</f>
        <v/>
      </c>
      <c r="F17" s="39" t="inlineStr">
        <is>
          <t>n/a (suma componentes)</t>
        </is>
      </c>
      <c r="G17" s="39" t="inlineStr">
        <is>
          <t>n/a</t>
        </is>
      </c>
      <c r="H17" s="35">
        <f>H5+H7+H8+H9+H6</f>
        <v/>
      </c>
      <c r="I17" s="39" t="inlineStr">
        <is>
          <t>n/a</t>
        </is>
      </c>
      <c r="J17" s="39" t="inlineStr">
        <is>
          <t>n/a</t>
        </is>
      </c>
      <c r="K17" s="35">
        <f>K5+K7+K8+K9+K6</f>
        <v/>
      </c>
      <c r="L17" s="35">
        <f>Supuestos!$B$58</f>
        <v/>
      </c>
      <c r="M17" s="35">
        <f>M5+M7+M8+M9+M6</f>
        <v/>
      </c>
      <c r="N17" s="36">
        <f>N5+N7+N8+N9+N6</f>
        <v/>
      </c>
      <c r="O17" s="32">
        <f>(H17+L17+M17)*Supuestos!$B$6*(1+Supuestos!$B$63)+N17</f>
        <v/>
      </c>
      <c r="P17" s="32">
        <f>(K17+L17+M17)*Supuestos!$B$6*(1+Supuestos!$B$64)+N17</f>
        <v/>
      </c>
      <c r="Q17" s="32">
        <f>E17-O17</f>
        <v/>
      </c>
      <c r="R17" s="37">
        <f>Q17/E17</f>
        <v/>
      </c>
      <c r="S17" s="32">
        <f>E17-P17</f>
        <v/>
      </c>
      <c r="T17" s="37">
        <f>S17/E17</f>
        <v/>
      </c>
      <c r="U17" s="36">
        <f>D17*Supuestos!$B$12+Supuestos!$B$13</f>
        <v/>
      </c>
      <c r="V17" s="36">
        <f>IF(D17&gt;=Supuestos!$B$75,Supuestos!$B$26,0)</f>
        <v/>
      </c>
      <c r="W17" s="36">
        <f>Supuestos!$B$31</f>
        <v/>
      </c>
      <c r="X17" s="36">
        <f>Supuestos!$B$33</f>
        <v/>
      </c>
      <c r="Y17" s="36">
        <f>-Supuestos!$B$34*Q17</f>
        <v/>
      </c>
      <c r="Z17" s="32">
        <f>Q17-U17-V17-W17-X17+Y17</f>
        <v/>
      </c>
      <c r="AA17" s="37">
        <f>Z17/E17</f>
        <v/>
      </c>
      <c r="AB17" s="36">
        <f>-Supuestos!$B$34*S17</f>
        <v/>
      </c>
      <c r="AC17" s="32">
        <f>S17-U17-V17-W17-X17+AB17</f>
        <v/>
      </c>
      <c r="AD17" s="38" t="n">
        <v>0.01</v>
      </c>
    </row>
    <row r="19">
      <c r="A19" s="40" t="inlineStr">
        <is>
          <t>MEDIA PONDERADA POR MIX DE VENTAS</t>
        </is>
      </c>
      <c r="D19" s="41">
        <f>SUMPRODUCT(AD5:AD17,D5:D17)/SUM(AD5:AD17)</f>
        <v/>
      </c>
      <c r="E19" s="41">
        <f>SUMPRODUCT(AD5:AD17,E5:E17)/SUM(AD5:AD17)</f>
        <v/>
      </c>
      <c r="O19" s="41">
        <f>SUMPRODUCT(AD5:AD17,O5:O17)/SUM(AD5:AD17)</f>
        <v/>
      </c>
      <c r="U19" s="41">
        <f>SUMPRODUCT(AD5:AD17,U5:U17)/SUM(AD5:AD17)</f>
        <v/>
      </c>
      <c r="V19" s="41">
        <f>SUMPRODUCT(AD5:AD17,V5:V17)/SUM(AD5:AD17)</f>
        <v/>
      </c>
      <c r="W19" s="41">
        <f>SUMPRODUCT(AD5:AD17,W5:W17)/SUM(AD5:AD17)</f>
        <v/>
      </c>
      <c r="X19" s="41">
        <f>SUMPRODUCT(AD5:AD17,X5:X17)/SUM(AD5:AD17)</f>
        <v/>
      </c>
      <c r="Y19" s="41">
        <f>SUMPRODUCT(AD5:AD17,Y5:Y17)/SUM(AD5:AD17)</f>
        <v/>
      </c>
      <c r="Z19" s="41">
        <f>SUMPRODUCT(AD5:AD17,Z5:Z17)/SUM(AD5:AD17)</f>
        <v/>
      </c>
      <c r="AD19" s="42">
        <f>SUM(AD5:AD17)</f>
        <v/>
      </c>
    </row>
  </sheetData>
  <mergeCells count="1">
    <mergeCell ref="A1:AC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</cols>
  <sheetData>
    <row r="1">
      <c r="A1" s="1" t="inlineStr">
        <is>
          <t>NOCTA — Cuenta de resultados (PyG) mensual, meses 1-12</t>
        </is>
      </c>
    </row>
    <row r="2">
      <c r="A2" s="2" t="inlineStr">
        <is>
          <t>Importes en € con IVA salvo 'neto de IVA'. Todos los drivers (azul) están en Supuestos/Escenarios; aquí solo hay fórmulas.</t>
        </is>
      </c>
    </row>
    <row r="4" ht="26" customHeight="1">
      <c r="A4" s="28" t="inlineStr">
        <is>
          <t>Concepto</t>
        </is>
      </c>
      <c r="B4" s="28" t="inlineStr">
        <is>
          <t>Total / Prom. año 1</t>
        </is>
      </c>
      <c r="C4" s="28" t="inlineStr">
        <is>
          <t>Mes 1</t>
        </is>
      </c>
      <c r="D4" s="28" t="inlineStr">
        <is>
          <t>Mes 2</t>
        </is>
      </c>
      <c r="E4" s="28" t="inlineStr">
        <is>
          <t>Mes 3</t>
        </is>
      </c>
      <c r="F4" s="28" t="inlineStr">
        <is>
          <t>Mes 4</t>
        </is>
      </c>
      <c r="G4" s="28" t="inlineStr">
        <is>
          <t>Mes 5</t>
        </is>
      </c>
      <c r="H4" s="28" t="inlineStr">
        <is>
          <t>Mes 6</t>
        </is>
      </c>
      <c r="I4" s="28" t="inlineStr">
        <is>
          <t>Mes 7</t>
        </is>
      </c>
      <c r="J4" s="28" t="inlineStr">
        <is>
          <t>Mes 8</t>
        </is>
      </c>
      <c r="K4" s="28" t="inlineStr">
        <is>
          <t>Mes 9</t>
        </is>
      </c>
      <c r="L4" s="28" t="inlineStr">
        <is>
          <t>Mes 10</t>
        </is>
      </c>
      <c r="M4" s="28" t="inlineStr">
        <is>
          <t>Mes 11</t>
        </is>
      </c>
      <c r="N4" s="28" t="inlineStr">
        <is>
          <t>Mes 12</t>
        </is>
      </c>
    </row>
    <row r="5">
      <c r="A5" s="43" t="inlineStr">
        <is>
          <t>Adquisición, pedidos y suscripción</t>
        </is>
      </c>
    </row>
    <row r="6">
      <c r="A6" s="29" t="inlineStr">
        <is>
          <t>CPA activo (€/pedido nuevo)</t>
        </is>
      </c>
      <c r="B6" s="44">
        <f>AVERAGE(C6:N6)</f>
        <v/>
      </c>
      <c r="C6" s="45">
        <f>IF(1&gt;=6,Supuestos!$B$117,Supuestos!$B$116+(Supuestos!$B$117-Supuestos!$B$116)*(1-1)/5)</f>
        <v/>
      </c>
      <c r="D6" s="45">
        <f>IF(2&gt;=6,Supuestos!$B$117,Supuestos!$B$116+(Supuestos!$B$117-Supuestos!$B$116)*(2-1)/5)</f>
        <v/>
      </c>
      <c r="E6" s="45">
        <f>IF(3&gt;=6,Supuestos!$B$117,Supuestos!$B$116+(Supuestos!$B$117-Supuestos!$B$116)*(3-1)/5)</f>
        <v/>
      </c>
      <c r="F6" s="45">
        <f>IF(4&gt;=6,Supuestos!$B$117,Supuestos!$B$116+(Supuestos!$B$117-Supuestos!$B$116)*(4-1)/5)</f>
        <v/>
      </c>
      <c r="G6" s="45">
        <f>IF(5&gt;=6,Supuestos!$B$117,Supuestos!$B$116+(Supuestos!$B$117-Supuestos!$B$116)*(5-1)/5)</f>
        <v/>
      </c>
      <c r="H6" s="45">
        <f>IF(6&gt;=6,Supuestos!$B$117,Supuestos!$B$116+(Supuestos!$B$117-Supuestos!$B$116)*(6-1)/5)</f>
        <v/>
      </c>
      <c r="I6" s="45">
        <f>IF(7&gt;=6,Supuestos!$B$117,Supuestos!$B$116+(Supuestos!$B$117-Supuestos!$B$116)*(7-1)/5)</f>
        <v/>
      </c>
      <c r="J6" s="45">
        <f>IF(8&gt;=6,Supuestos!$B$117,Supuestos!$B$116+(Supuestos!$B$117-Supuestos!$B$116)*(8-1)/5)</f>
        <v/>
      </c>
      <c r="K6" s="45">
        <f>IF(9&gt;=6,Supuestos!$B$117,Supuestos!$B$116+(Supuestos!$B$117-Supuestos!$B$116)*(9-1)/5)</f>
        <v/>
      </c>
      <c r="L6" s="45">
        <f>IF(10&gt;=6,Supuestos!$B$117,Supuestos!$B$116+(Supuestos!$B$117-Supuestos!$B$116)*(10-1)/5)</f>
        <v/>
      </c>
      <c r="M6" s="45">
        <f>IF(11&gt;=6,Supuestos!$B$117,Supuestos!$B$116+(Supuestos!$B$117-Supuestos!$B$116)*(11-1)/5)</f>
        <v/>
      </c>
      <c r="N6" s="45">
        <f>IF(12&gt;=6,Supuestos!$B$117,Supuestos!$B$116+(Supuestos!$B$117-Supuestos!$B$116)*(12-1)/5)</f>
        <v/>
      </c>
    </row>
    <row r="7">
      <c r="A7" s="29" t="inlineStr">
        <is>
          <t>Inversión en Ads (€)</t>
        </is>
      </c>
      <c r="B7" s="46">
        <f>SUM(C7:N7)</f>
        <v/>
      </c>
      <c r="C7" s="47">
        <f>Supuestos!$B$47</f>
        <v/>
      </c>
      <c r="D7" s="47">
        <f>MIN(IF(C43&gt;=Supuestos!$B$46,C7*(1+Supuestos!$B$120),C7),Supuestos!$B$121)</f>
        <v/>
      </c>
      <c r="E7" s="47">
        <f>MIN(IF(D43&gt;=Supuestos!$B$46,D7*(1+Supuestos!$B$120),D7),Supuestos!$B$121)</f>
        <v/>
      </c>
      <c r="F7" s="47">
        <f>MIN(IF(E43&gt;=Supuestos!$B$46,E7*(1+Supuestos!$B$120),E7),Supuestos!$B$121)</f>
        <v/>
      </c>
      <c r="G7" s="47">
        <f>MIN(IF(F43&gt;=Supuestos!$B$46,F7*(1+Supuestos!$B$120),F7),Supuestos!$B$121)</f>
        <v/>
      </c>
      <c r="H7" s="47">
        <f>MIN(IF(G43&gt;=Supuestos!$B$46,G7*(1+Supuestos!$B$120),G7),Supuestos!$B$121)</f>
        <v/>
      </c>
      <c r="I7" s="47">
        <f>MIN(IF(H43&gt;=Supuestos!$B$46,H7*(1+Supuestos!$B$120),H7),Supuestos!$B$121)</f>
        <v/>
      </c>
      <c r="J7" s="47">
        <f>MIN(IF(I43&gt;=Supuestos!$B$46,I7*(1+Supuestos!$B$120),I7),Supuestos!$B$121)</f>
        <v/>
      </c>
      <c r="K7" s="47">
        <f>MIN(IF(J43&gt;=Supuestos!$B$46,J7*(1+Supuestos!$B$120),J7),Supuestos!$B$121)</f>
        <v/>
      </c>
      <c r="L7" s="47">
        <f>MIN(IF(K43&gt;=Supuestos!$B$46,K7*(1+Supuestos!$B$120),K7),Supuestos!$B$121)</f>
        <v/>
      </c>
      <c r="M7" s="47">
        <f>MIN(IF(L43&gt;=Supuestos!$B$46,L7*(1+Supuestos!$B$120),L7),Supuestos!$B$121)</f>
        <v/>
      </c>
      <c r="N7" s="47">
        <f>MIN(IF(M43&gt;=Supuestos!$B$46,M7*(1+Supuestos!$B$120),M7),Supuestos!$B$121)</f>
        <v/>
      </c>
    </row>
    <row r="8">
      <c r="A8" s="29" t="inlineStr">
        <is>
          <t>Pedidos nuevos (uds)</t>
        </is>
      </c>
      <c r="B8" s="48">
        <f>SUM(C8:N8)</f>
        <v/>
      </c>
      <c r="C8" s="49">
        <f>IFERROR(C7/C6,0)</f>
        <v/>
      </c>
      <c r="D8" s="49">
        <f>IFERROR(D7/D6,0)</f>
        <v/>
      </c>
      <c r="E8" s="49">
        <f>IFERROR(E7/E6,0)</f>
        <v/>
      </c>
      <c r="F8" s="49">
        <f>IFERROR(F7/F6,0)</f>
        <v/>
      </c>
      <c r="G8" s="49">
        <f>IFERROR(G7/G6,0)</f>
        <v/>
      </c>
      <c r="H8" s="49">
        <f>IFERROR(H7/H6,0)</f>
        <v/>
      </c>
      <c r="I8" s="49">
        <f>IFERROR(I7/I6,0)</f>
        <v/>
      </c>
      <c r="J8" s="49">
        <f>IFERROR(J7/J6,0)</f>
        <v/>
      </c>
      <c r="K8" s="49">
        <f>IFERROR(K7/K6,0)</f>
        <v/>
      </c>
      <c r="L8" s="49">
        <f>IFERROR(L7/L6,0)</f>
        <v/>
      </c>
      <c r="M8" s="49">
        <f>IFERROR(M7/M6,0)</f>
        <v/>
      </c>
      <c r="N8" s="49">
        <f>IFERROR(N7/N6,0)</f>
        <v/>
      </c>
    </row>
    <row r="9">
      <c r="A9" s="29" t="inlineStr">
        <is>
          <t>Nuevos suscriptores (uds)</t>
        </is>
      </c>
      <c r="B9" s="48">
        <f>SUM(C9:N9)</f>
        <v/>
      </c>
      <c r="C9" s="49">
        <f>C8*Supuestos!$B$122</f>
        <v/>
      </c>
      <c r="D9" s="49">
        <f>D8*Supuestos!$B$122</f>
        <v/>
      </c>
      <c r="E9" s="49">
        <f>E8*Supuestos!$B$122</f>
        <v/>
      </c>
      <c r="F9" s="49">
        <f>F8*Supuestos!$B$122</f>
        <v/>
      </c>
      <c r="G9" s="49">
        <f>G8*Supuestos!$B$122</f>
        <v/>
      </c>
      <c r="H9" s="49">
        <f>H8*Supuestos!$B$122</f>
        <v/>
      </c>
      <c r="I9" s="49">
        <f>I8*Supuestos!$B$122</f>
        <v/>
      </c>
      <c r="J9" s="49">
        <f>J8*Supuestos!$B$122</f>
        <v/>
      </c>
      <c r="K9" s="49">
        <f>K8*Supuestos!$B$122</f>
        <v/>
      </c>
      <c r="L9" s="49">
        <f>L8*Supuestos!$B$122</f>
        <v/>
      </c>
      <c r="M9" s="49">
        <f>M8*Supuestos!$B$122</f>
        <v/>
      </c>
      <c r="N9" s="49">
        <f>N8*Supuestos!$B$122</f>
        <v/>
      </c>
    </row>
    <row r="10">
      <c r="A10" s="29" t="inlineStr">
        <is>
          <t>Suscriptores activos (stock)</t>
        </is>
      </c>
      <c r="B10" s="48">
        <f>N10</f>
        <v/>
      </c>
      <c r="C10" s="49">
        <f>0</f>
        <v/>
      </c>
      <c r="D10" s="49">
        <f>C10*(1-Supuestos!$B$103)+C9</f>
        <v/>
      </c>
      <c r="E10" s="49">
        <f>D10*(1-Supuestos!$B$103)+D9</f>
        <v/>
      </c>
      <c r="F10" s="49">
        <f>E10*(1-Supuestos!$B$103)+E9</f>
        <v/>
      </c>
      <c r="G10" s="49">
        <f>F10*(1-Supuestos!$B$103)+F9</f>
        <v/>
      </c>
      <c r="H10" s="49">
        <f>G10*(1-Supuestos!$B$103)+G9</f>
        <v/>
      </c>
      <c r="I10" s="49">
        <f>H10*(1-Supuestos!$B$103)+H9</f>
        <v/>
      </c>
      <c r="J10" s="49">
        <f>I10*(1-Supuestos!$B$103)+I9</f>
        <v/>
      </c>
      <c r="K10" s="49">
        <f>J10*(1-Supuestos!$B$103)+J9</f>
        <v/>
      </c>
      <c r="L10" s="49">
        <f>K10*(1-Supuestos!$B$103)+K9</f>
        <v/>
      </c>
      <c r="M10" s="49">
        <f>L10*(1-Supuestos!$B$103)+L9</f>
        <v/>
      </c>
      <c r="N10" s="49">
        <f>M10*(1-Supuestos!$B$103)+M9</f>
        <v/>
      </c>
    </row>
    <row r="11">
      <c r="A11" s="29" t="inlineStr">
        <is>
          <t>Pedidos de suscripción (uds)</t>
        </is>
      </c>
      <c r="B11" s="48">
        <f>SUM(C11:N11)</f>
        <v/>
      </c>
      <c r="C11" s="49">
        <f>C10</f>
        <v/>
      </c>
      <c r="D11" s="49">
        <f>D10</f>
        <v/>
      </c>
      <c r="E11" s="49">
        <f>E10</f>
        <v/>
      </c>
      <c r="F11" s="49">
        <f>F10</f>
        <v/>
      </c>
      <c r="G11" s="49">
        <f>G10</f>
        <v/>
      </c>
      <c r="H11" s="49">
        <f>H10</f>
        <v/>
      </c>
      <c r="I11" s="49">
        <f>I10</f>
        <v/>
      </c>
      <c r="J11" s="49">
        <f>J10</f>
        <v/>
      </c>
      <c r="K11" s="49">
        <f>K10</f>
        <v/>
      </c>
      <c r="L11" s="49">
        <f>L10</f>
        <v/>
      </c>
      <c r="M11" s="49">
        <f>M10</f>
        <v/>
      </c>
      <c r="N11" s="49">
        <f>N10</f>
        <v/>
      </c>
    </row>
    <row r="12">
      <c r="A12" s="29" t="inlineStr">
        <is>
          <t>Pedidos de recompra no-suscriptores (uds)</t>
        </is>
      </c>
      <c r="B12" s="48">
        <f>SUM(C12:N12)</f>
        <v/>
      </c>
      <c r="C12" s="49">
        <f>0</f>
        <v/>
      </c>
      <c r="D12" s="49">
        <f>0</f>
        <v/>
      </c>
      <c r="E12" s="49">
        <f>0</f>
        <v/>
      </c>
      <c r="F12" s="49">
        <f>C8*(1-Supuestos!$B$122)*Supuestos!$B$123</f>
        <v/>
      </c>
      <c r="G12" s="49">
        <f>D8*(1-Supuestos!$B$122)*Supuestos!$B$123</f>
        <v/>
      </c>
      <c r="H12" s="49">
        <f>E8*(1-Supuestos!$B$122)*Supuestos!$B$123</f>
        <v/>
      </c>
      <c r="I12" s="49">
        <f>F8*(1-Supuestos!$B$122)*Supuestos!$B$123</f>
        <v/>
      </c>
      <c r="J12" s="49">
        <f>G8*(1-Supuestos!$B$122)*Supuestos!$B$123</f>
        <v/>
      </c>
      <c r="K12" s="49">
        <f>H8*(1-Supuestos!$B$122)*Supuestos!$B$123</f>
        <v/>
      </c>
      <c r="L12" s="49">
        <f>I8*(1-Supuestos!$B$122)*Supuestos!$B$123</f>
        <v/>
      </c>
      <c r="M12" s="49">
        <f>J8*(1-Supuestos!$B$122)*Supuestos!$B$123</f>
        <v/>
      </c>
      <c r="N12" s="49">
        <f>K8*(1-Supuestos!$B$122)*Supuestos!$B$123</f>
        <v/>
      </c>
    </row>
    <row r="13">
      <c r="A13" s="50" t="inlineStr">
        <is>
          <t>Pedidos totales (uds)</t>
        </is>
      </c>
      <c r="B13" s="48">
        <f>SUM(C13:N13)</f>
        <v/>
      </c>
      <c r="C13" s="48">
        <f>C8+C11+C12</f>
        <v/>
      </c>
      <c r="D13" s="48">
        <f>D8+D11+D12</f>
        <v/>
      </c>
      <c r="E13" s="48">
        <f>E8+E11+E12</f>
        <v/>
      </c>
      <c r="F13" s="48">
        <f>F8+F11+F12</f>
        <v/>
      </c>
      <c r="G13" s="48">
        <f>G8+G11+G12</f>
        <v/>
      </c>
      <c r="H13" s="48">
        <f>H8+H11+H12</f>
        <v/>
      </c>
      <c r="I13" s="48">
        <f>I8+I11+I12</f>
        <v/>
      </c>
      <c r="J13" s="48">
        <f>J8+J11+J12</f>
        <v/>
      </c>
      <c r="K13" s="48">
        <f>K8+K11+K12</f>
        <v/>
      </c>
      <c r="L13" s="48">
        <f>L8+L11+L12</f>
        <v/>
      </c>
      <c r="M13" s="48">
        <f>M8+M11+M12</f>
        <v/>
      </c>
      <c r="N13" s="48">
        <f>N8+N11+N12</f>
        <v/>
      </c>
    </row>
    <row r="14">
      <c r="A14" s="29" t="inlineStr">
        <is>
          <t>AOV medio ponderado (€, con IVA)</t>
        </is>
      </c>
      <c r="B14" s="44">
        <f>AVERAGE(C14:N14)</f>
        <v/>
      </c>
      <c r="C14" s="45">
        <f>IFERROR(((C8+C12)*Supuestos!$B$119+C11*Supuestos!$B$119*(1-Supuestos!$B$71))/C13,Supuestos!$B$119)</f>
        <v/>
      </c>
      <c r="D14" s="45">
        <f>IFERROR(((D8+D12)*Supuestos!$B$119+D11*Supuestos!$B$119*(1-Supuestos!$B$71))/D13,Supuestos!$B$119)</f>
        <v/>
      </c>
      <c r="E14" s="45">
        <f>IFERROR(((E8+E12)*Supuestos!$B$119+E11*Supuestos!$B$119*(1-Supuestos!$B$71))/E13,Supuestos!$B$119)</f>
        <v/>
      </c>
      <c r="F14" s="45">
        <f>IFERROR(((F8+F12)*Supuestos!$B$119+F11*Supuestos!$B$119*(1-Supuestos!$B$71))/F13,Supuestos!$B$119)</f>
        <v/>
      </c>
      <c r="G14" s="45">
        <f>IFERROR(((G8+G12)*Supuestos!$B$119+G11*Supuestos!$B$119*(1-Supuestos!$B$71))/G13,Supuestos!$B$119)</f>
        <v/>
      </c>
      <c r="H14" s="45">
        <f>IFERROR(((H8+H12)*Supuestos!$B$119+H11*Supuestos!$B$119*(1-Supuestos!$B$71))/H13,Supuestos!$B$119)</f>
        <v/>
      </c>
      <c r="I14" s="45">
        <f>IFERROR(((I8+I12)*Supuestos!$B$119+I11*Supuestos!$B$119*(1-Supuestos!$B$71))/I13,Supuestos!$B$119)</f>
        <v/>
      </c>
      <c r="J14" s="45">
        <f>IFERROR(((J8+J12)*Supuestos!$B$119+J11*Supuestos!$B$119*(1-Supuestos!$B$71))/J13,Supuestos!$B$119)</f>
        <v/>
      </c>
      <c r="K14" s="45">
        <f>IFERROR(((K8+K12)*Supuestos!$B$119+K11*Supuestos!$B$119*(1-Supuestos!$B$71))/K13,Supuestos!$B$119)</f>
        <v/>
      </c>
      <c r="L14" s="45">
        <f>IFERROR(((L8+L12)*Supuestos!$B$119+L11*Supuestos!$B$119*(1-Supuestos!$B$71))/L13,Supuestos!$B$119)</f>
        <v/>
      </c>
      <c r="M14" s="45">
        <f>IFERROR(((M8+M12)*Supuestos!$B$119+M11*Supuestos!$B$119*(1-Supuestos!$B$71))/M13,Supuestos!$B$119)</f>
        <v/>
      </c>
      <c r="N14" s="45">
        <f>IFERROR(((N8+N12)*Supuestos!$B$119+N11*Supuestos!$B$119*(1-Supuestos!$B$71))/N13,Supuestos!$B$119)</f>
        <v/>
      </c>
    </row>
    <row r="15">
      <c r="A15" s="50" t="inlineStr">
        <is>
          <t>Ingresos (ventas, con IVA) (€)</t>
        </is>
      </c>
      <c r="B15" s="46">
        <f>SUM(C15:N15)</f>
        <v/>
      </c>
      <c r="C15" s="46">
        <f>C13*C14</f>
        <v/>
      </c>
      <c r="D15" s="46">
        <f>D13*D14</f>
        <v/>
      </c>
      <c r="E15" s="46">
        <f>E13*E14</f>
        <v/>
      </c>
      <c r="F15" s="46">
        <f>F13*F14</f>
        <v/>
      </c>
      <c r="G15" s="46">
        <f>G13*G14</f>
        <v/>
      </c>
      <c r="H15" s="46">
        <f>H13*H14</f>
        <v/>
      </c>
      <c r="I15" s="46">
        <f>I13*I14</f>
        <v/>
      </c>
      <c r="J15" s="46">
        <f>J13*J14</f>
        <v/>
      </c>
      <c r="K15" s="46">
        <f>K13*K14</f>
        <v/>
      </c>
      <c r="L15" s="46">
        <f>L13*L14</f>
        <v/>
      </c>
      <c r="M15" s="46">
        <f>M13*M14</f>
        <v/>
      </c>
      <c r="N15" s="46">
        <f>N13*N14</f>
        <v/>
      </c>
    </row>
    <row r="16">
      <c r="A16" s="50" t="inlineStr">
        <is>
          <t>Ingresos netos de IVA (€)</t>
        </is>
      </c>
      <c r="B16" s="46">
        <f>SUM(C16:N16)</f>
        <v/>
      </c>
      <c r="C16" s="46">
        <f>C15/(1+Supuestos!$B$7)</f>
        <v/>
      </c>
      <c r="D16" s="46">
        <f>D15/(1+Supuestos!$B$7)</f>
        <v/>
      </c>
      <c r="E16" s="46">
        <f>E15/(1+Supuestos!$B$7)</f>
        <v/>
      </c>
      <c r="F16" s="46">
        <f>F15/(1+Supuestos!$B$7)</f>
        <v/>
      </c>
      <c r="G16" s="46">
        <f>G15/(1+Supuestos!$B$7)</f>
        <v/>
      </c>
      <c r="H16" s="46">
        <f>H15/(1+Supuestos!$B$7)</f>
        <v/>
      </c>
      <c r="I16" s="46">
        <f>I15/(1+Supuestos!$B$7)</f>
        <v/>
      </c>
      <c r="J16" s="46">
        <f>J15/(1+Supuestos!$B$7)</f>
        <v/>
      </c>
      <c r="K16" s="46">
        <f>K15/(1+Supuestos!$B$7)</f>
        <v/>
      </c>
      <c r="L16" s="46">
        <f>L15/(1+Supuestos!$B$7)</f>
        <v/>
      </c>
      <c r="M16" s="46">
        <f>M15/(1+Supuestos!$B$7)</f>
        <v/>
      </c>
      <c r="N16" s="46">
        <f>N15/(1+Supuestos!$B$7)</f>
        <v/>
      </c>
    </row>
    <row r="17">
      <c r="A17" s="43" t="inlineStr">
        <is>
          <t>Costes variables</t>
        </is>
      </c>
    </row>
    <row r="18">
      <c r="A18" s="29" t="inlineStr">
        <is>
          <t>COGS — coste desembarcado (€)</t>
        </is>
      </c>
      <c r="B18" s="46">
        <f>SUM(C18:N18)</f>
        <v/>
      </c>
      <c r="C18" s="47">
        <f>C13*'Unit Economics SKU'!$O$19</f>
        <v/>
      </c>
      <c r="D18" s="47">
        <f>D13*'Unit Economics SKU'!$O$19</f>
        <v/>
      </c>
      <c r="E18" s="47">
        <f>E13*'Unit Economics SKU'!$O$19</f>
        <v/>
      </c>
      <c r="F18" s="47">
        <f>F13*'Unit Economics SKU'!$O$19</f>
        <v/>
      </c>
      <c r="G18" s="47">
        <f>G13*'Unit Economics SKU'!$O$19</f>
        <v/>
      </c>
      <c r="H18" s="47">
        <f>H13*'Unit Economics SKU'!$O$19</f>
        <v/>
      </c>
      <c r="I18" s="47">
        <f>I13*'Unit Economics SKU'!$O$19</f>
        <v/>
      </c>
      <c r="J18" s="47">
        <f>J13*'Unit Economics SKU'!$O$19</f>
        <v/>
      </c>
      <c r="K18" s="47">
        <f>K13*'Unit Economics SKU'!$O$19</f>
        <v/>
      </c>
      <c r="L18" s="47">
        <f>L13*'Unit Economics SKU'!$O$19</f>
        <v/>
      </c>
      <c r="M18" s="47">
        <f>M13*'Unit Economics SKU'!$O$19</f>
        <v/>
      </c>
      <c r="N18" s="47">
        <f>N13*'Unit Economics SKU'!$O$19</f>
        <v/>
      </c>
    </row>
    <row r="19">
      <c r="A19" s="29" t="inlineStr">
        <is>
          <t>Comisión pasarela de pago (€)</t>
        </is>
      </c>
      <c r="B19" s="46">
        <f>SUM(C19:N19)</f>
        <v/>
      </c>
      <c r="C19" s="47">
        <f>C13*'Unit Economics SKU'!$U$19</f>
        <v/>
      </c>
      <c r="D19" s="47">
        <f>D13*'Unit Economics SKU'!$U$19</f>
        <v/>
      </c>
      <c r="E19" s="47">
        <f>E13*'Unit Economics SKU'!$U$19</f>
        <v/>
      </c>
      <c r="F19" s="47">
        <f>F13*'Unit Economics SKU'!$U$19</f>
        <v/>
      </c>
      <c r="G19" s="47">
        <f>G13*'Unit Economics SKU'!$U$19</f>
        <v/>
      </c>
      <c r="H19" s="47">
        <f>H13*'Unit Economics SKU'!$U$19</f>
        <v/>
      </c>
      <c r="I19" s="47">
        <f>I13*'Unit Economics SKU'!$U$19</f>
        <v/>
      </c>
      <c r="J19" s="47">
        <f>J13*'Unit Economics SKU'!$U$19</f>
        <v/>
      </c>
      <c r="K19" s="47">
        <f>K13*'Unit Economics SKU'!$U$19</f>
        <v/>
      </c>
      <c r="L19" s="47">
        <f>L13*'Unit Economics SKU'!$U$19</f>
        <v/>
      </c>
      <c r="M19" s="47">
        <f>M13*'Unit Economics SKU'!$U$19</f>
        <v/>
      </c>
      <c r="N19" s="47">
        <f>N13*'Unit Economics SKU'!$U$19</f>
        <v/>
      </c>
    </row>
    <row r="20">
      <c r="A20" s="29" t="inlineStr">
        <is>
          <t>Envío a cliente (€)</t>
        </is>
      </c>
      <c r="B20" s="46">
        <f>SUM(C20:N20)</f>
        <v/>
      </c>
      <c r="C20" s="47">
        <f>C13*'Unit Economics SKU'!$V$19</f>
        <v/>
      </c>
      <c r="D20" s="47">
        <f>D13*'Unit Economics SKU'!$V$19</f>
        <v/>
      </c>
      <c r="E20" s="47">
        <f>E13*'Unit Economics SKU'!$V$19</f>
        <v/>
      </c>
      <c r="F20" s="47">
        <f>F13*'Unit Economics SKU'!$V$19</f>
        <v/>
      </c>
      <c r="G20" s="47">
        <f>G13*'Unit Economics SKU'!$V$19</f>
        <v/>
      </c>
      <c r="H20" s="47">
        <f>H13*'Unit Economics SKU'!$V$19</f>
        <v/>
      </c>
      <c r="I20" s="47">
        <f>I13*'Unit Economics SKU'!$V$19</f>
        <v/>
      </c>
      <c r="J20" s="47">
        <f>J13*'Unit Economics SKU'!$V$19</f>
        <v/>
      </c>
      <c r="K20" s="47">
        <f>K13*'Unit Economics SKU'!$V$19</f>
        <v/>
      </c>
      <c r="L20" s="47">
        <f>L13*'Unit Economics SKU'!$V$19</f>
        <v/>
      </c>
      <c r="M20" s="47">
        <f>M13*'Unit Economics SKU'!$V$19</f>
        <v/>
      </c>
      <c r="N20" s="47">
        <f>N13*'Unit Economics SKU'!$V$19</f>
        <v/>
      </c>
    </row>
    <row r="21">
      <c r="A21" s="29" t="inlineStr">
        <is>
          <t>Logística 3PL pick&amp;pack (€)</t>
        </is>
      </c>
      <c r="B21" s="46">
        <f>SUM(C21:N21)</f>
        <v/>
      </c>
      <c r="C21" s="47">
        <f>C13*'Unit Economics SKU'!$W$19</f>
        <v/>
      </c>
      <c r="D21" s="47">
        <f>D13*'Unit Economics SKU'!$W$19</f>
        <v/>
      </c>
      <c r="E21" s="47">
        <f>E13*'Unit Economics SKU'!$W$19</f>
        <v/>
      </c>
      <c r="F21" s="47">
        <f>F13*'Unit Economics SKU'!$W$19</f>
        <v/>
      </c>
      <c r="G21" s="47">
        <f>G13*'Unit Economics SKU'!$W$19</f>
        <v/>
      </c>
      <c r="H21" s="47">
        <f>H13*'Unit Economics SKU'!$W$19</f>
        <v/>
      </c>
      <c r="I21" s="47">
        <f>I13*'Unit Economics SKU'!$W$19</f>
        <v/>
      </c>
      <c r="J21" s="47">
        <f>J13*'Unit Economics SKU'!$W$19</f>
        <v/>
      </c>
      <c r="K21" s="47">
        <f>K13*'Unit Economics SKU'!$W$19</f>
        <v/>
      </c>
      <c r="L21" s="47">
        <f>L13*'Unit Economics SKU'!$W$19</f>
        <v/>
      </c>
      <c r="M21" s="47">
        <f>M13*'Unit Economics SKU'!$W$19</f>
        <v/>
      </c>
      <c r="N21" s="47">
        <f>N13*'Unit Economics SKU'!$W$19</f>
        <v/>
      </c>
    </row>
    <row r="22">
      <c r="A22" s="29" t="inlineStr">
        <is>
          <t>Packaging de envío (€)</t>
        </is>
      </c>
      <c r="B22" s="46">
        <f>SUM(C22:N22)</f>
        <v/>
      </c>
      <c r="C22" s="47">
        <f>C13*'Unit Economics SKU'!$X$19</f>
        <v/>
      </c>
      <c r="D22" s="47">
        <f>D13*'Unit Economics SKU'!$X$19</f>
        <v/>
      </c>
      <c r="E22" s="47">
        <f>E13*'Unit Economics SKU'!$X$19</f>
        <v/>
      </c>
      <c r="F22" s="47">
        <f>F13*'Unit Economics SKU'!$X$19</f>
        <v/>
      </c>
      <c r="G22" s="47">
        <f>G13*'Unit Economics SKU'!$X$19</f>
        <v/>
      </c>
      <c r="H22" s="47">
        <f>H13*'Unit Economics SKU'!$X$19</f>
        <v/>
      </c>
      <c r="I22" s="47">
        <f>I13*'Unit Economics SKU'!$X$19</f>
        <v/>
      </c>
      <c r="J22" s="47">
        <f>J13*'Unit Economics SKU'!$X$19</f>
        <v/>
      </c>
      <c r="K22" s="47">
        <f>K13*'Unit Economics SKU'!$X$19</f>
        <v/>
      </c>
      <c r="L22" s="47">
        <f>L13*'Unit Economics SKU'!$X$19</f>
        <v/>
      </c>
      <c r="M22" s="47">
        <f>M13*'Unit Economics SKU'!$X$19</f>
        <v/>
      </c>
      <c r="N22" s="47">
        <f>N13*'Unit Economics SKU'!$X$19</f>
        <v/>
      </c>
    </row>
    <row r="23">
      <c r="A23" s="29" t="inlineStr">
        <is>
          <t>Devoluciones (impacto neto) (€)</t>
        </is>
      </c>
      <c r="B23" s="46">
        <f>SUM(C23:N23)</f>
        <v/>
      </c>
      <c r="C23" s="47">
        <f>-C13*'Unit Economics SKU'!$Y$19</f>
        <v/>
      </c>
      <c r="D23" s="47">
        <f>-D13*'Unit Economics SKU'!$Y$19</f>
        <v/>
      </c>
      <c r="E23" s="47">
        <f>-E13*'Unit Economics SKU'!$Y$19</f>
        <v/>
      </c>
      <c r="F23" s="47">
        <f>-F13*'Unit Economics SKU'!$Y$19</f>
        <v/>
      </c>
      <c r="G23" s="47">
        <f>-G13*'Unit Economics SKU'!$Y$19</f>
        <v/>
      </c>
      <c r="H23" s="47">
        <f>-H13*'Unit Economics SKU'!$Y$19</f>
        <v/>
      </c>
      <c r="I23" s="47">
        <f>-I13*'Unit Economics SKU'!$Y$19</f>
        <v/>
      </c>
      <c r="J23" s="47">
        <f>-J13*'Unit Economics SKU'!$Y$19</f>
        <v/>
      </c>
      <c r="K23" s="47">
        <f>-K13*'Unit Economics SKU'!$Y$19</f>
        <v/>
      </c>
      <c r="L23" s="47">
        <f>-L13*'Unit Economics SKU'!$Y$19</f>
        <v/>
      </c>
      <c r="M23" s="47">
        <f>-M13*'Unit Economics SKU'!$Y$19</f>
        <v/>
      </c>
      <c r="N23" s="47">
        <f>-N13*'Unit Economics SKU'!$Y$19</f>
        <v/>
      </c>
    </row>
    <row r="24">
      <c r="A24" s="50" t="inlineStr">
        <is>
          <t>Total costes variables (€)</t>
        </is>
      </c>
      <c r="B24" s="46">
        <f>SUM(C24:N24)</f>
        <v/>
      </c>
      <c r="C24" s="46">
        <f>C18+C19+C20+C21+C22+C23</f>
        <v/>
      </c>
      <c r="D24" s="46">
        <f>D18+D19+D20+D21+D22+D23</f>
        <v/>
      </c>
      <c r="E24" s="46">
        <f>E18+E19+E20+E21+E22+E23</f>
        <v/>
      </c>
      <c r="F24" s="46">
        <f>F18+F19+F20+F21+F22+F23</f>
        <v/>
      </c>
      <c r="G24" s="46">
        <f>G18+G19+G20+G21+G22+G23</f>
        <v/>
      </c>
      <c r="H24" s="46">
        <f>H18+H19+H20+H21+H22+H23</f>
        <v/>
      </c>
      <c r="I24" s="46">
        <f>I18+I19+I20+I21+I22+I23</f>
        <v/>
      </c>
      <c r="J24" s="46">
        <f>J18+J19+J20+J21+J22+J23</f>
        <v/>
      </c>
      <c r="K24" s="46">
        <f>K18+K19+K20+K21+K22+K23</f>
        <v/>
      </c>
      <c r="L24" s="46">
        <f>L18+L19+L20+L21+L22+L23</f>
        <v/>
      </c>
      <c r="M24" s="46">
        <f>M18+M19+M20+M21+M22+M23</f>
        <v/>
      </c>
      <c r="N24" s="46">
        <f>N18+N19+N20+N21+N22+N23</f>
        <v/>
      </c>
    </row>
    <row r="25">
      <c r="A25" s="50" t="inlineStr">
        <is>
          <t>Margen bruto (€)</t>
        </is>
      </c>
      <c r="B25" s="46">
        <f>SUM(C25:N25)</f>
        <v/>
      </c>
      <c r="C25" s="46">
        <f>C16-C18</f>
        <v/>
      </c>
      <c r="D25" s="46">
        <f>D16-D18</f>
        <v/>
      </c>
      <c r="E25" s="46">
        <f>E16-E18</f>
        <v/>
      </c>
      <c r="F25" s="46">
        <f>F16-F18</f>
        <v/>
      </c>
      <c r="G25" s="46">
        <f>G16-G18</f>
        <v/>
      </c>
      <c r="H25" s="46">
        <f>H16-H18</f>
        <v/>
      </c>
      <c r="I25" s="46">
        <f>I16-I18</f>
        <v/>
      </c>
      <c r="J25" s="46">
        <f>J16-J18</f>
        <v/>
      </c>
      <c r="K25" s="46">
        <f>K16-K18</f>
        <v/>
      </c>
      <c r="L25" s="46">
        <f>L16-L18</f>
        <v/>
      </c>
      <c r="M25" s="46">
        <f>M16-M18</f>
        <v/>
      </c>
      <c r="N25" s="46">
        <f>N16-N18</f>
        <v/>
      </c>
    </row>
    <row r="26">
      <c r="A26" s="29" t="inlineStr">
        <is>
          <t>Margen bruto (%)</t>
        </is>
      </c>
      <c r="B26" s="51">
        <f>AVERAGE(C26:N26)</f>
        <v/>
      </c>
      <c r="C26" s="52">
        <f>IFERROR(C25/C16,0)</f>
        <v/>
      </c>
      <c r="D26" s="52">
        <f>IFERROR(D25/D16,0)</f>
        <v/>
      </c>
      <c r="E26" s="52">
        <f>IFERROR(E25/E16,0)</f>
        <v/>
      </c>
      <c r="F26" s="52">
        <f>IFERROR(F25/F16,0)</f>
        <v/>
      </c>
      <c r="G26" s="52">
        <f>IFERROR(G25/G16,0)</f>
        <v/>
      </c>
      <c r="H26" s="52">
        <f>IFERROR(H25/H16,0)</f>
        <v/>
      </c>
      <c r="I26" s="52">
        <f>IFERROR(I25/I16,0)</f>
        <v/>
      </c>
      <c r="J26" s="52">
        <f>IFERROR(J25/J16,0)</f>
        <v/>
      </c>
      <c r="K26" s="52">
        <f>IFERROR(K25/K16,0)</f>
        <v/>
      </c>
      <c r="L26" s="52">
        <f>IFERROR(L25/L16,0)</f>
        <v/>
      </c>
      <c r="M26" s="52">
        <f>IFERROR(M25/M16,0)</f>
        <v/>
      </c>
      <c r="N26" s="52">
        <f>IFERROR(N25/N16,0)</f>
        <v/>
      </c>
    </row>
    <row r="27">
      <c r="A27" s="43" t="inlineStr">
        <is>
          <t>Costes fijos</t>
        </is>
      </c>
    </row>
    <row r="28">
      <c r="A28" s="29" t="inlineStr">
        <is>
          <t>Shopify (plan Basic) (€)</t>
        </is>
      </c>
      <c r="B28" s="46">
        <f>SUM(C28:N28)</f>
        <v/>
      </c>
      <c r="C28" s="47">
        <f>Supuestos!$B$10</f>
        <v/>
      </c>
      <c r="D28" s="47">
        <f>Supuestos!$B$10</f>
        <v/>
      </c>
      <c r="E28" s="47">
        <f>Supuestos!$B$10</f>
        <v/>
      </c>
      <c r="F28" s="47">
        <f>Supuestos!$B$10</f>
        <v/>
      </c>
      <c r="G28" s="47">
        <f>Supuestos!$B$10</f>
        <v/>
      </c>
      <c r="H28" s="47">
        <f>Supuestos!$B$10</f>
        <v/>
      </c>
      <c r="I28" s="47">
        <f>Supuestos!$B$10</f>
        <v/>
      </c>
      <c r="J28" s="47">
        <f>Supuestos!$B$10</f>
        <v/>
      </c>
      <c r="K28" s="47">
        <f>Supuestos!$B$10</f>
        <v/>
      </c>
      <c r="L28" s="47">
        <f>Supuestos!$B$10</f>
        <v/>
      </c>
      <c r="M28" s="47">
        <f>Supuestos!$B$10</f>
        <v/>
      </c>
      <c r="N28" s="47">
        <f>Supuestos!$B$10</f>
        <v/>
      </c>
    </row>
    <row r="29">
      <c r="A29" s="29" t="inlineStr">
        <is>
          <t>Apps de Shopify (€)</t>
        </is>
      </c>
      <c r="B29" s="46">
        <f>SUM(C29:N29)</f>
        <v/>
      </c>
      <c r="C29" s="47">
        <f>Supuestos!$B$79</f>
        <v/>
      </c>
      <c r="D29" s="47">
        <f>Supuestos!$B$79</f>
        <v/>
      </c>
      <c r="E29" s="47">
        <f>Supuestos!$B$79</f>
        <v/>
      </c>
      <c r="F29" s="47">
        <f>Supuestos!$B$79</f>
        <v/>
      </c>
      <c r="G29" s="47">
        <f>Supuestos!$B$79</f>
        <v/>
      </c>
      <c r="H29" s="47">
        <f>Supuestos!$B$79</f>
        <v/>
      </c>
      <c r="I29" s="47">
        <f>Supuestos!$B$79</f>
        <v/>
      </c>
      <c r="J29" s="47">
        <f>Supuestos!$B$79</f>
        <v/>
      </c>
      <c r="K29" s="47">
        <f>Supuestos!$B$79</f>
        <v/>
      </c>
      <c r="L29" s="47">
        <f>Supuestos!$B$79</f>
        <v/>
      </c>
      <c r="M29" s="47">
        <f>Supuestos!$B$79</f>
        <v/>
      </c>
      <c r="N29" s="47">
        <f>Supuestos!$B$79</f>
        <v/>
      </c>
    </row>
    <row r="30">
      <c r="A30" s="29" t="inlineStr">
        <is>
          <t>Freelance diseño/soporte (€)</t>
        </is>
      </c>
      <c r="B30" s="46">
        <f>SUM(C30:N30)</f>
        <v/>
      </c>
      <c r="C30" s="47">
        <f>Supuestos!$B$80</f>
        <v/>
      </c>
      <c r="D30" s="47">
        <f>Supuestos!$B$80</f>
        <v/>
      </c>
      <c r="E30" s="47">
        <f>Supuestos!$B$80</f>
        <v/>
      </c>
      <c r="F30" s="47">
        <f>Supuestos!$B$80</f>
        <v/>
      </c>
      <c r="G30" s="47">
        <f>Supuestos!$B$80</f>
        <v/>
      </c>
      <c r="H30" s="47">
        <f>Supuestos!$B$80</f>
        <v/>
      </c>
      <c r="I30" s="47">
        <f>Supuestos!$B$80</f>
        <v/>
      </c>
      <c r="J30" s="47">
        <f>Supuestos!$B$80</f>
        <v/>
      </c>
      <c r="K30" s="47">
        <f>Supuestos!$B$80</f>
        <v/>
      </c>
      <c r="L30" s="47">
        <f>Supuestos!$B$80</f>
        <v/>
      </c>
      <c r="M30" s="47">
        <f>Supuestos!$B$80</f>
        <v/>
      </c>
      <c r="N30" s="47">
        <f>Supuestos!$B$80</f>
        <v/>
      </c>
    </row>
    <row r="31">
      <c r="A31" s="29" t="inlineStr">
        <is>
          <t>Salarios (€)</t>
        </is>
      </c>
      <c r="B31" s="46">
        <f>SUM(C31:N31)</f>
        <v/>
      </c>
      <c r="C31" s="47">
        <f>0</f>
        <v/>
      </c>
      <c r="D31" s="47">
        <f>0</f>
        <v/>
      </c>
      <c r="E31" s="47">
        <f>0</f>
        <v/>
      </c>
      <c r="F31" s="47">
        <f>0</f>
        <v/>
      </c>
      <c r="G31" s="47">
        <f>0</f>
        <v/>
      </c>
      <c r="H31" s="47">
        <f>0</f>
        <v/>
      </c>
      <c r="I31" s="47">
        <f>0</f>
        <v/>
      </c>
      <c r="J31" s="47">
        <f>0</f>
        <v/>
      </c>
      <c r="K31" s="47">
        <f>0</f>
        <v/>
      </c>
      <c r="L31" s="47">
        <f>0</f>
        <v/>
      </c>
      <c r="M31" s="47">
        <f>0</f>
        <v/>
      </c>
      <c r="N31" s="47">
        <f>0</f>
        <v/>
      </c>
    </row>
    <row r="32">
      <c r="A32" s="29" t="inlineStr">
        <is>
          <t>Legal / CPNP recurrente (€)</t>
        </is>
      </c>
      <c r="B32" s="46">
        <f>SUM(C32:N32)</f>
        <v/>
      </c>
      <c r="C32" s="47">
        <f>Supuestos!$B$106</f>
        <v/>
      </c>
      <c r="D32" s="47">
        <f>Supuestos!$B$106</f>
        <v/>
      </c>
      <c r="E32" s="47">
        <f>Supuestos!$B$106</f>
        <v/>
      </c>
      <c r="F32" s="47">
        <f>Supuestos!$B$106</f>
        <v/>
      </c>
      <c r="G32" s="47">
        <f>Supuestos!$B$106</f>
        <v/>
      </c>
      <c r="H32" s="47">
        <f>Supuestos!$B$106</f>
        <v/>
      </c>
      <c r="I32" s="47">
        <f>Supuestos!$B$106</f>
        <v/>
      </c>
      <c r="J32" s="47">
        <f>Supuestos!$B$106</f>
        <v/>
      </c>
      <c r="K32" s="47">
        <f>Supuestos!$B$106</f>
        <v/>
      </c>
      <c r="L32" s="47">
        <f>Supuestos!$B$106</f>
        <v/>
      </c>
      <c r="M32" s="47">
        <f>Supuestos!$B$106</f>
        <v/>
      </c>
      <c r="N32" s="47">
        <f>Supuestos!$B$106</f>
        <v/>
      </c>
    </row>
    <row r="33">
      <c r="A33" s="29" t="inlineStr">
        <is>
          <t>Gestoría / contabilidad (€)</t>
        </is>
      </c>
      <c r="B33" s="46">
        <f>SUM(C33:N33)</f>
        <v/>
      </c>
      <c r="C33" s="47">
        <f>Supuestos!$B$107</f>
        <v/>
      </c>
      <c r="D33" s="47">
        <f>Supuestos!$B$107</f>
        <v/>
      </c>
      <c r="E33" s="47">
        <f>Supuestos!$B$107</f>
        <v/>
      </c>
      <c r="F33" s="47">
        <f>Supuestos!$B$107</f>
        <v/>
      </c>
      <c r="G33" s="47">
        <f>Supuestos!$B$107</f>
        <v/>
      </c>
      <c r="H33" s="47">
        <f>Supuestos!$B$107</f>
        <v/>
      </c>
      <c r="I33" s="47">
        <f>Supuestos!$B$107</f>
        <v/>
      </c>
      <c r="J33" s="47">
        <f>Supuestos!$B$107</f>
        <v/>
      </c>
      <c r="K33" s="47">
        <f>Supuestos!$B$107</f>
        <v/>
      </c>
      <c r="L33" s="47">
        <f>Supuestos!$B$107</f>
        <v/>
      </c>
      <c r="M33" s="47">
        <f>Supuestos!$B$107</f>
        <v/>
      </c>
      <c r="N33" s="47">
        <f>Supuestos!$B$107</f>
        <v/>
      </c>
    </row>
    <row r="34">
      <c r="A34" s="29" t="inlineStr">
        <is>
          <t>Muestras I+D / calidad (€)</t>
        </is>
      </c>
      <c r="B34" s="46">
        <f>SUM(C34:N34)</f>
        <v/>
      </c>
      <c r="C34" s="47">
        <f>Supuestos!$B$108</f>
        <v/>
      </c>
      <c r="D34" s="47">
        <f>Supuestos!$B$108</f>
        <v/>
      </c>
      <c r="E34" s="47">
        <f>Supuestos!$B$108</f>
        <v/>
      </c>
      <c r="F34" s="47">
        <f>Supuestos!$B$108</f>
        <v/>
      </c>
      <c r="G34" s="47">
        <f>Supuestos!$B$108</f>
        <v/>
      </c>
      <c r="H34" s="47">
        <f>Supuestos!$B$108</f>
        <v/>
      </c>
      <c r="I34" s="47">
        <f>Supuestos!$B$108</f>
        <v/>
      </c>
      <c r="J34" s="47">
        <f>Supuestos!$B$108</f>
        <v/>
      </c>
      <c r="K34" s="47">
        <f>Supuestos!$B$108</f>
        <v/>
      </c>
      <c r="L34" s="47">
        <f>Supuestos!$B$108</f>
        <v/>
      </c>
      <c r="M34" s="47">
        <f>Supuestos!$B$108</f>
        <v/>
      </c>
      <c r="N34" s="47">
        <f>Supuestos!$B$108</f>
        <v/>
      </c>
    </row>
    <row r="35">
      <c r="A35" s="50" t="inlineStr">
        <is>
          <t>Total costes fijos (€)</t>
        </is>
      </c>
      <c r="B35" s="46">
        <f>SUM(C35:N35)</f>
        <v/>
      </c>
      <c r="C35" s="46">
        <f>SUM(C28:C34)</f>
        <v/>
      </c>
      <c r="D35" s="46">
        <f>SUM(D28:D34)</f>
        <v/>
      </c>
      <c r="E35" s="46">
        <f>SUM(E28:E34)</f>
        <v/>
      </c>
      <c r="F35" s="46">
        <f>SUM(F28:F34)</f>
        <v/>
      </c>
      <c r="G35" s="46">
        <f>SUM(G28:G34)</f>
        <v/>
      </c>
      <c r="H35" s="46">
        <f>SUM(H28:H34)</f>
        <v/>
      </c>
      <c r="I35" s="46">
        <f>SUM(I28:I34)</f>
        <v/>
      </c>
      <c r="J35" s="46">
        <f>SUM(J28:J34)</f>
        <v/>
      </c>
      <c r="K35" s="46">
        <f>SUM(K28:K34)</f>
        <v/>
      </c>
      <c r="L35" s="46">
        <f>SUM(L28:L34)</f>
        <v/>
      </c>
      <c r="M35" s="46">
        <f>SUM(M28:M34)</f>
        <v/>
      </c>
      <c r="N35" s="46">
        <f>SUM(N28:N34)</f>
        <v/>
      </c>
    </row>
    <row r="36">
      <c r="A36" s="43" t="inlineStr">
        <is>
          <t>Resultado</t>
        </is>
      </c>
    </row>
    <row r="37">
      <c r="A37" s="50" t="inlineStr">
        <is>
          <t>Margen de contribución (€)</t>
        </is>
      </c>
      <c r="B37" s="46">
        <f>SUM(C37:N37)</f>
        <v/>
      </c>
      <c r="C37" s="46">
        <f>C16-C24-C7</f>
        <v/>
      </c>
      <c r="D37" s="46">
        <f>D16-D24-D7</f>
        <v/>
      </c>
      <c r="E37" s="46">
        <f>E16-E24-E7</f>
        <v/>
      </c>
      <c r="F37" s="46">
        <f>F16-F24-F7</f>
        <v/>
      </c>
      <c r="G37" s="46">
        <f>G16-G24-G7</f>
        <v/>
      </c>
      <c r="H37" s="46">
        <f>H16-H24-H7</f>
        <v/>
      </c>
      <c r="I37" s="46">
        <f>I16-I24-I7</f>
        <v/>
      </c>
      <c r="J37" s="46">
        <f>J16-J24-J7</f>
        <v/>
      </c>
      <c r="K37" s="46">
        <f>K16-K24-K7</f>
        <v/>
      </c>
      <c r="L37" s="46">
        <f>L16-L24-L7</f>
        <v/>
      </c>
      <c r="M37" s="46">
        <f>M16-M24-M7</f>
        <v/>
      </c>
      <c r="N37" s="46">
        <f>N16-N24-N7</f>
        <v/>
      </c>
    </row>
    <row r="38">
      <c r="A38" s="29" t="inlineStr">
        <is>
          <t>Margen de contribución (%)</t>
        </is>
      </c>
      <c r="B38" s="51">
        <f>AVERAGE(C38:N38)</f>
        <v/>
      </c>
      <c r="C38" s="52">
        <f>IFERROR(C37/C16,0)</f>
        <v/>
      </c>
      <c r="D38" s="52">
        <f>IFERROR(D37/D16,0)</f>
        <v/>
      </c>
      <c r="E38" s="52">
        <f>IFERROR(E37/E16,0)</f>
        <v/>
      </c>
      <c r="F38" s="52">
        <f>IFERROR(F37/F16,0)</f>
        <v/>
      </c>
      <c r="G38" s="52">
        <f>IFERROR(G37/G16,0)</f>
        <v/>
      </c>
      <c r="H38" s="52">
        <f>IFERROR(H37/H16,0)</f>
        <v/>
      </c>
      <c r="I38" s="52">
        <f>IFERROR(I37/I16,0)</f>
        <v/>
      </c>
      <c r="J38" s="52">
        <f>IFERROR(J37/J16,0)</f>
        <v/>
      </c>
      <c r="K38" s="52">
        <f>IFERROR(K37/K16,0)</f>
        <v/>
      </c>
      <c r="L38" s="52">
        <f>IFERROR(L37/L16,0)</f>
        <v/>
      </c>
      <c r="M38" s="52">
        <f>IFERROR(M37/M16,0)</f>
        <v/>
      </c>
      <c r="N38" s="52">
        <f>IFERROR(N37/N16,0)</f>
        <v/>
      </c>
    </row>
    <row r="39">
      <c r="A39" s="50" t="inlineStr">
        <is>
          <t>EBITDA (€)</t>
        </is>
      </c>
      <c r="B39" s="46">
        <f>SUM(C39:N39)</f>
        <v/>
      </c>
      <c r="C39" s="46">
        <f>C37-C35</f>
        <v/>
      </c>
      <c r="D39" s="46">
        <f>D37-D35</f>
        <v/>
      </c>
      <c r="E39" s="46">
        <f>E37-E35</f>
        <v/>
      </c>
      <c r="F39" s="46">
        <f>F37-F35</f>
        <v/>
      </c>
      <c r="G39" s="46">
        <f>G37-G35</f>
        <v/>
      </c>
      <c r="H39" s="46">
        <f>H37-H35</f>
        <v/>
      </c>
      <c r="I39" s="46">
        <f>I37-I35</f>
        <v/>
      </c>
      <c r="J39" s="46">
        <f>J37-J35</f>
        <v/>
      </c>
      <c r="K39" s="46">
        <f>K37-K35</f>
        <v/>
      </c>
      <c r="L39" s="46">
        <f>L37-L35</f>
        <v/>
      </c>
      <c r="M39" s="46">
        <f>M37-M35</f>
        <v/>
      </c>
      <c r="N39" s="46">
        <f>N37-N35</f>
        <v/>
      </c>
    </row>
    <row r="40">
      <c r="A40" s="29" t="inlineStr">
        <is>
          <t>EBITDA (%)</t>
        </is>
      </c>
      <c r="B40" s="51">
        <f>AVERAGE(C40:N40)</f>
        <v/>
      </c>
      <c r="C40" s="52">
        <f>IFERROR(C39/C16,0)</f>
        <v/>
      </c>
      <c r="D40" s="52">
        <f>IFERROR(D39/D16,0)</f>
        <v/>
      </c>
      <c r="E40" s="52">
        <f>IFERROR(E39/E16,0)</f>
        <v/>
      </c>
      <c r="F40" s="52">
        <f>IFERROR(F39/F16,0)</f>
        <v/>
      </c>
      <c r="G40" s="52">
        <f>IFERROR(G39/G16,0)</f>
        <v/>
      </c>
      <c r="H40" s="52">
        <f>IFERROR(H39/H16,0)</f>
        <v/>
      </c>
      <c r="I40" s="52">
        <f>IFERROR(I39/I16,0)</f>
        <v/>
      </c>
      <c r="J40" s="52">
        <f>IFERROR(J39/J16,0)</f>
        <v/>
      </c>
      <c r="K40" s="52">
        <f>IFERROR(K39/K16,0)</f>
        <v/>
      </c>
      <c r="L40" s="52">
        <f>IFERROR(L39/L16,0)</f>
        <v/>
      </c>
      <c r="M40" s="52">
        <f>IFERROR(M39/M16,0)</f>
        <v/>
      </c>
      <c r="N40" s="52">
        <f>IFERROR(N39/N16,0)</f>
        <v/>
      </c>
    </row>
    <row r="41">
      <c r="A41" s="50" t="inlineStr">
        <is>
          <t>EBITDA acumulado (€)</t>
        </is>
      </c>
      <c r="B41" s="46">
        <f>N41</f>
        <v/>
      </c>
      <c r="C41" s="46">
        <f>C39</f>
        <v/>
      </c>
      <c r="D41" s="46">
        <f>C41+D39</f>
        <v/>
      </c>
      <c r="E41" s="46">
        <f>D41+E39</f>
        <v/>
      </c>
      <c r="F41" s="46">
        <f>E41+F39</f>
        <v/>
      </c>
      <c r="G41" s="46">
        <f>F41+G39</f>
        <v/>
      </c>
      <c r="H41" s="46">
        <f>G41+H39</f>
        <v/>
      </c>
      <c r="I41" s="46">
        <f>H41+I39</f>
        <v/>
      </c>
      <c r="J41" s="46">
        <f>I41+J39</f>
        <v/>
      </c>
      <c r="K41" s="46">
        <f>J41+K39</f>
        <v/>
      </c>
      <c r="L41" s="46">
        <f>K41+L39</f>
        <v/>
      </c>
      <c r="M41" s="46">
        <f>L41+M39</f>
        <v/>
      </c>
      <c r="N41" s="46">
        <f>M41+N39</f>
        <v/>
      </c>
    </row>
    <row r="42">
      <c r="A42" s="43" t="inlineStr">
        <is>
          <t>Indicador de escalado de Ads</t>
        </is>
      </c>
    </row>
    <row r="43">
      <c r="A43" s="29" t="inlineStr">
        <is>
          <t>ROAS mensual (ingresos netos / Ads)</t>
        </is>
      </c>
      <c r="B43" s="53">
        <f>AVERAGE(C43:N43)</f>
        <v/>
      </c>
      <c r="C43" s="54">
        <f>IFERROR(C16/C7,0)</f>
        <v/>
      </c>
      <c r="D43" s="54">
        <f>IFERROR(D16/D7,0)</f>
        <v/>
      </c>
      <c r="E43" s="54">
        <f>IFERROR(E16/E7,0)</f>
        <v/>
      </c>
      <c r="F43" s="54">
        <f>IFERROR(F16/F7,0)</f>
        <v/>
      </c>
      <c r="G43" s="54">
        <f>IFERROR(G16/G7,0)</f>
        <v/>
      </c>
      <c r="H43" s="54">
        <f>IFERROR(H16/H7,0)</f>
        <v/>
      </c>
      <c r="I43" s="54">
        <f>IFERROR(I16/I7,0)</f>
        <v/>
      </c>
      <c r="J43" s="54">
        <f>IFERROR(J16/J7,0)</f>
        <v/>
      </c>
      <c r="K43" s="54">
        <f>IFERROR(K16/K7,0)</f>
        <v/>
      </c>
      <c r="L43" s="54">
        <f>IFERROR(L16/L7,0)</f>
        <v/>
      </c>
      <c r="M43" s="54">
        <f>IFERROR(M16/M7,0)</f>
        <v/>
      </c>
      <c r="N43" s="54">
        <f>IFERROR(N16/N7,0)</f>
        <v/>
      </c>
    </row>
  </sheetData>
  <mergeCells count="6">
    <mergeCell ref="A17:N17"/>
    <mergeCell ref="A27:N27"/>
    <mergeCell ref="A42:N42"/>
    <mergeCell ref="A5:N5"/>
    <mergeCell ref="A36:N36"/>
    <mergeCell ref="A1:N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</cols>
  <sheetData>
    <row r="1">
      <c r="A1" s="1" t="inlineStr">
        <is>
          <t>NOCTA — Tesorería mensual (Mes 0 = prelanzamiento)</t>
        </is>
      </c>
    </row>
    <row r="2">
      <c r="A2" s="2" t="inlineStr">
        <is>
          <t>Mes 0 incluye la inversión inicial (legal, marca, web, muestras, troqueles) y el depósito del primer pedido de inventario.</t>
        </is>
      </c>
    </row>
    <row r="4" ht="26" customHeight="1">
      <c r="A4" s="28" t="inlineStr">
        <is>
          <t>Concepto</t>
        </is>
      </c>
      <c r="B4" s="28" t="inlineStr">
        <is>
          <t>Total año 1</t>
        </is>
      </c>
      <c r="C4" s="28" t="inlineStr">
        <is>
          <t>Mes 0</t>
        </is>
      </c>
      <c r="D4" s="28" t="inlineStr">
        <is>
          <t>Mes 1</t>
        </is>
      </c>
      <c r="E4" s="28" t="inlineStr">
        <is>
          <t>Mes 2</t>
        </is>
      </c>
      <c r="F4" s="28" t="inlineStr">
        <is>
          <t>Mes 3</t>
        </is>
      </c>
      <c r="G4" s="28" t="inlineStr">
        <is>
          <t>Mes 4</t>
        </is>
      </c>
      <c r="H4" s="28" t="inlineStr">
        <is>
          <t>Mes 5</t>
        </is>
      </c>
      <c r="I4" s="28" t="inlineStr">
        <is>
          <t>Mes 6</t>
        </is>
      </c>
      <c r="J4" s="28" t="inlineStr">
        <is>
          <t>Mes 7</t>
        </is>
      </c>
      <c r="K4" s="28" t="inlineStr">
        <is>
          <t>Mes 8</t>
        </is>
      </c>
      <c r="L4" s="28" t="inlineStr">
        <is>
          <t>Mes 9</t>
        </is>
      </c>
      <c r="M4" s="28" t="inlineStr">
        <is>
          <t>Mes 10</t>
        </is>
      </c>
      <c r="N4" s="28" t="inlineStr">
        <is>
          <t>Mes 11</t>
        </is>
      </c>
      <c r="O4" s="28" t="inlineStr">
        <is>
          <t>Mes 12</t>
        </is>
      </c>
    </row>
    <row r="5">
      <c r="A5" s="43" t="inlineStr">
        <is>
          <t>Inversión inicial (Mes 0, pago único)</t>
        </is>
      </c>
    </row>
    <row r="6">
      <c r="A6" s="29" t="inlineStr">
        <is>
          <t>Compliance PR/CPSR/CPNP (10 SKU) (€)</t>
        </is>
      </c>
      <c r="B6" s="46">
        <f>SUM(D6:O6)</f>
        <v/>
      </c>
      <c r="C6" s="47">
        <f>Supuestos!$B$83+Supuestos!$B$84*9</f>
        <v/>
      </c>
      <c r="D6" s="47">
        <f>0</f>
        <v/>
      </c>
      <c r="E6" s="47">
        <f>0</f>
        <v/>
      </c>
      <c r="F6" s="47">
        <f>0</f>
        <v/>
      </c>
      <c r="G6" s="47">
        <f>0</f>
        <v/>
      </c>
      <c r="H6" s="47">
        <f>0</f>
        <v/>
      </c>
      <c r="I6" s="47">
        <f>0</f>
        <v/>
      </c>
      <c r="J6" s="47">
        <f>0</f>
        <v/>
      </c>
      <c r="K6" s="47">
        <f>0</f>
        <v/>
      </c>
      <c r="L6" s="47">
        <f>0</f>
        <v/>
      </c>
      <c r="M6" s="47">
        <f>0</f>
        <v/>
      </c>
      <c r="N6" s="47">
        <f>0</f>
        <v/>
      </c>
      <c r="O6" s="47">
        <f>0</f>
        <v/>
      </c>
    </row>
    <row r="7">
      <c r="A7" s="29" t="inlineStr">
        <is>
          <t>Declaración AEMPS (€)</t>
        </is>
      </c>
      <c r="B7" s="46">
        <f>SUM(D7:O7)</f>
        <v/>
      </c>
      <c r="C7" s="47">
        <f>Supuestos!$B$85</f>
        <v/>
      </c>
      <c r="D7" s="47">
        <f>0</f>
        <v/>
      </c>
      <c r="E7" s="47">
        <f>0</f>
        <v/>
      </c>
      <c r="F7" s="47">
        <f>0</f>
        <v/>
      </c>
      <c r="G7" s="47">
        <f>0</f>
        <v/>
      </c>
      <c r="H7" s="47">
        <f>0</f>
        <v/>
      </c>
      <c r="I7" s="47">
        <f>0</f>
        <v/>
      </c>
      <c r="J7" s="47">
        <f>0</f>
        <v/>
      </c>
      <c r="K7" s="47">
        <f>0</f>
        <v/>
      </c>
      <c r="L7" s="47">
        <f>0</f>
        <v/>
      </c>
      <c r="M7" s="47">
        <f>0</f>
        <v/>
      </c>
      <c r="N7" s="47">
        <f>0</f>
        <v/>
      </c>
      <c r="O7" s="47">
        <f>0</f>
        <v/>
      </c>
    </row>
    <row r="8">
      <c r="A8" s="29" t="inlineStr">
        <is>
          <t>Registro de marca EUIPO (€)</t>
        </is>
      </c>
      <c r="B8" s="46">
        <f>SUM(D8:O8)</f>
        <v/>
      </c>
      <c r="C8" s="47">
        <f>Supuestos!$B$86</f>
        <v/>
      </c>
      <c r="D8" s="47">
        <f>0</f>
        <v/>
      </c>
      <c r="E8" s="47">
        <f>0</f>
        <v/>
      </c>
      <c r="F8" s="47">
        <f>0</f>
        <v/>
      </c>
      <c r="G8" s="47">
        <f>0</f>
        <v/>
      </c>
      <c r="H8" s="47">
        <f>0</f>
        <v/>
      </c>
      <c r="I8" s="47">
        <f>0</f>
        <v/>
      </c>
      <c r="J8" s="47">
        <f>0</f>
        <v/>
      </c>
      <c r="K8" s="47">
        <f>0</f>
        <v/>
      </c>
      <c r="L8" s="47">
        <f>0</f>
        <v/>
      </c>
      <c r="M8" s="47">
        <f>0</f>
        <v/>
      </c>
      <c r="N8" s="47">
        <f>0</f>
        <v/>
      </c>
      <c r="O8" s="47">
        <f>0</f>
        <v/>
      </c>
    </row>
    <row r="9">
      <c r="A9" s="29" t="inlineStr">
        <is>
          <t>Diseño de marca y packaging (€)</t>
        </is>
      </c>
      <c r="B9" s="46">
        <f>SUM(D9:O9)</f>
        <v/>
      </c>
      <c r="C9" s="47">
        <f>Supuestos!$B$87</f>
        <v/>
      </c>
      <c r="D9" s="47">
        <f>0</f>
        <v/>
      </c>
      <c r="E9" s="47">
        <f>0</f>
        <v/>
      </c>
      <c r="F9" s="47">
        <f>0</f>
        <v/>
      </c>
      <c r="G9" s="47">
        <f>0</f>
        <v/>
      </c>
      <c r="H9" s="47">
        <f>0</f>
        <v/>
      </c>
      <c r="I9" s="47">
        <f>0</f>
        <v/>
      </c>
      <c r="J9" s="47">
        <f>0</f>
        <v/>
      </c>
      <c r="K9" s="47">
        <f>0</f>
        <v/>
      </c>
      <c r="L9" s="47">
        <f>0</f>
        <v/>
      </c>
      <c r="M9" s="47">
        <f>0</f>
        <v/>
      </c>
      <c r="N9" s="47">
        <f>0</f>
        <v/>
      </c>
      <c r="O9" s="47">
        <f>0</f>
        <v/>
      </c>
    </row>
    <row r="10">
      <c r="A10" s="29" t="inlineStr">
        <is>
          <t>Web (Shopify + apps) (€)</t>
        </is>
      </c>
      <c r="B10" s="46">
        <f>SUM(D10:O10)</f>
        <v/>
      </c>
      <c r="C10" s="47">
        <f>Supuestos!$B$88</f>
        <v/>
      </c>
      <c r="D10" s="47">
        <f>0</f>
        <v/>
      </c>
      <c r="E10" s="47">
        <f>0</f>
        <v/>
      </c>
      <c r="F10" s="47">
        <f>0</f>
        <v/>
      </c>
      <c r="G10" s="47">
        <f>0</f>
        <v/>
      </c>
      <c r="H10" s="47">
        <f>0</f>
        <v/>
      </c>
      <c r="I10" s="47">
        <f>0</f>
        <v/>
      </c>
      <c r="J10" s="47">
        <f>0</f>
        <v/>
      </c>
      <c r="K10" s="47">
        <f>0</f>
        <v/>
      </c>
      <c r="L10" s="47">
        <f>0</f>
        <v/>
      </c>
      <c r="M10" s="47">
        <f>0</f>
        <v/>
      </c>
      <c r="N10" s="47">
        <f>0</f>
        <v/>
      </c>
      <c r="O10" s="47">
        <f>0</f>
        <v/>
      </c>
    </row>
    <row r="11">
      <c r="A11" s="29" t="inlineStr">
        <is>
          <t>Fotos y vídeo de producto (€)</t>
        </is>
      </c>
      <c r="B11" s="46">
        <f>SUM(D11:O11)</f>
        <v/>
      </c>
      <c r="C11" s="47">
        <f>Supuestos!$B$89</f>
        <v/>
      </c>
      <c r="D11" s="47">
        <f>0</f>
        <v/>
      </c>
      <c r="E11" s="47">
        <f>0</f>
        <v/>
      </c>
      <c r="F11" s="47">
        <f>0</f>
        <v/>
      </c>
      <c r="G11" s="47">
        <f>0</f>
        <v/>
      </c>
      <c r="H11" s="47">
        <f>0</f>
        <v/>
      </c>
      <c r="I11" s="47">
        <f>0</f>
        <v/>
      </c>
      <c r="J11" s="47">
        <f>0</f>
        <v/>
      </c>
      <c r="K11" s="47">
        <f>0</f>
        <v/>
      </c>
      <c r="L11" s="47">
        <f>0</f>
        <v/>
      </c>
      <c r="M11" s="47">
        <f>0</f>
        <v/>
      </c>
      <c r="N11" s="47">
        <f>0</f>
        <v/>
      </c>
      <c r="O11" s="47">
        <f>0</f>
        <v/>
      </c>
    </row>
    <row r="12">
      <c r="A12" s="29" t="inlineStr">
        <is>
          <t>Creadoras UGC (€)</t>
        </is>
      </c>
      <c r="B12" s="46">
        <f>SUM(D12:O12)</f>
        <v/>
      </c>
      <c r="C12" s="47">
        <f>Supuestos!$B$90*Supuestos!$B$91</f>
        <v/>
      </c>
      <c r="D12" s="47">
        <f>0</f>
        <v/>
      </c>
      <c r="E12" s="47">
        <f>0</f>
        <v/>
      </c>
      <c r="F12" s="47">
        <f>0</f>
        <v/>
      </c>
      <c r="G12" s="47">
        <f>0</f>
        <v/>
      </c>
      <c r="H12" s="47">
        <f>0</f>
        <v/>
      </c>
      <c r="I12" s="47">
        <f>0</f>
        <v/>
      </c>
      <c r="J12" s="47">
        <f>0</f>
        <v/>
      </c>
      <c r="K12" s="47">
        <f>0</f>
        <v/>
      </c>
      <c r="L12" s="47">
        <f>0</f>
        <v/>
      </c>
      <c r="M12" s="47">
        <f>0</f>
        <v/>
      </c>
      <c r="N12" s="47">
        <f>0</f>
        <v/>
      </c>
      <c r="O12" s="47">
        <f>0</f>
        <v/>
      </c>
    </row>
    <row r="13">
      <c r="A13" s="29" t="inlineStr">
        <is>
          <t>Muestras de sourcing (10 SKU) (€)</t>
        </is>
      </c>
      <c r="B13" s="46">
        <f>SUM(D13:O13)</f>
        <v/>
      </c>
      <c r="C13" s="47">
        <f>Supuestos!$B$92*10</f>
        <v/>
      </c>
      <c r="D13" s="47">
        <f>0</f>
        <v/>
      </c>
      <c r="E13" s="47">
        <f>0</f>
        <v/>
      </c>
      <c r="F13" s="47">
        <f>0</f>
        <v/>
      </c>
      <c r="G13" s="47">
        <f>0</f>
        <v/>
      </c>
      <c r="H13" s="47">
        <f>0</f>
        <v/>
      </c>
      <c r="I13" s="47">
        <f>0</f>
        <v/>
      </c>
      <c r="J13" s="47">
        <f>0</f>
        <v/>
      </c>
      <c r="K13" s="47">
        <f>0</f>
        <v/>
      </c>
      <c r="L13" s="47">
        <f>0</f>
        <v/>
      </c>
      <c r="M13" s="47">
        <f>0</f>
        <v/>
      </c>
      <c r="N13" s="47">
        <f>0</f>
        <v/>
      </c>
      <c r="O13" s="47">
        <f>0</f>
        <v/>
      </c>
    </row>
    <row r="14">
      <c r="A14" s="29" t="inlineStr">
        <is>
          <t>Troqueles personalizados (€)</t>
        </is>
      </c>
      <c r="B14" s="46">
        <f>SUM(D14:O14)</f>
        <v/>
      </c>
      <c r="C14" s="47">
        <f>Supuestos!$B$59*Supuestos!$B$93*Supuestos!$B$6</f>
        <v/>
      </c>
      <c r="D14" s="47">
        <f>0</f>
        <v/>
      </c>
      <c r="E14" s="47">
        <f>0</f>
        <v/>
      </c>
      <c r="F14" s="47">
        <f>0</f>
        <v/>
      </c>
      <c r="G14" s="47">
        <f>0</f>
        <v/>
      </c>
      <c r="H14" s="47">
        <f>0</f>
        <v/>
      </c>
      <c r="I14" s="47">
        <f>0</f>
        <v/>
      </c>
      <c r="J14" s="47">
        <f>0</f>
        <v/>
      </c>
      <c r="K14" s="47">
        <f>0</f>
        <v/>
      </c>
      <c r="L14" s="47">
        <f>0</f>
        <v/>
      </c>
      <c r="M14" s="47">
        <f>0</f>
        <v/>
      </c>
      <c r="N14" s="47">
        <f>0</f>
        <v/>
      </c>
      <c r="O14" s="47">
        <f>0</f>
        <v/>
      </c>
    </row>
    <row r="15">
      <c r="A15" s="50" t="inlineStr">
        <is>
          <t>Total inversión inicial (€)</t>
        </is>
      </c>
      <c r="B15" s="46">
        <f>SUM(D15:O15)</f>
        <v/>
      </c>
      <c r="C15" s="46">
        <f>SUM(C6:C14)</f>
        <v/>
      </c>
      <c r="D15" s="46">
        <f>SUM(D6:D14)</f>
        <v/>
      </c>
      <c r="E15" s="46">
        <f>SUM(E6:E14)</f>
        <v/>
      </c>
      <c r="F15" s="46">
        <f>SUM(F6:F14)</f>
        <v/>
      </c>
      <c r="G15" s="46">
        <f>SUM(G6:G14)</f>
        <v/>
      </c>
      <c r="H15" s="46">
        <f>SUM(H6:H14)</f>
        <v/>
      </c>
      <c r="I15" s="46">
        <f>SUM(I6:I14)</f>
        <v/>
      </c>
      <c r="J15" s="46">
        <f>SUM(J6:J14)</f>
        <v/>
      </c>
      <c r="K15" s="46">
        <f>SUM(K6:K14)</f>
        <v/>
      </c>
      <c r="L15" s="46">
        <f>SUM(L6:L14)</f>
        <v/>
      </c>
      <c r="M15" s="46">
        <f>SUM(M6:M14)</f>
        <v/>
      </c>
      <c r="N15" s="46">
        <f>SUM(N6:N14)</f>
        <v/>
      </c>
      <c r="O15" s="46">
        <f>SUM(O6:O14)</f>
        <v/>
      </c>
    </row>
    <row r="16">
      <c r="A16" s="43" t="inlineStr">
        <is>
          <t>Inventario</t>
        </is>
      </c>
    </row>
    <row r="17">
      <c r="A17" s="29" t="inlineStr">
        <is>
          <t>COGS del mes (de PyG) (€)</t>
        </is>
      </c>
      <c r="B17" s="46">
        <f>SUM(D17:O17)</f>
        <v/>
      </c>
      <c r="C17" s="47">
        <f>0</f>
        <v/>
      </c>
      <c r="D17" s="47">
        <f>'PyG 12 meses'!C18</f>
        <v/>
      </c>
      <c r="E17" s="47">
        <f>'PyG 12 meses'!D18</f>
        <v/>
      </c>
      <c r="F17" s="47">
        <f>'PyG 12 meses'!E18</f>
        <v/>
      </c>
      <c r="G17" s="47">
        <f>'PyG 12 meses'!F18</f>
        <v/>
      </c>
      <c r="H17" s="47">
        <f>'PyG 12 meses'!G18</f>
        <v/>
      </c>
      <c r="I17" s="47">
        <f>'PyG 12 meses'!H18</f>
        <v/>
      </c>
      <c r="J17" s="47">
        <f>'PyG 12 meses'!I18</f>
        <v/>
      </c>
      <c r="K17" s="47">
        <f>'PyG 12 meses'!J18</f>
        <v/>
      </c>
      <c r="L17" s="47">
        <f>'PyG 12 meses'!K18</f>
        <v/>
      </c>
      <c r="M17" s="47">
        <f>'PyG 12 meses'!L18</f>
        <v/>
      </c>
      <c r="N17" s="47">
        <f>'PyG 12 meses'!M18</f>
        <v/>
      </c>
      <c r="O17" s="47">
        <f>'PyG 12 meses'!N18</f>
        <v/>
      </c>
    </row>
    <row r="18">
      <c r="A18" s="29" t="inlineStr">
        <is>
          <t>Inventario recibido (€, a coste desembarcado)</t>
        </is>
      </c>
      <c r="B18" s="46">
        <f>SUM(D18:O18)</f>
        <v/>
      </c>
      <c r="C18" s="47">
        <f>0</f>
        <v/>
      </c>
      <c r="D18" s="47">
        <f>Supuestos!$B$97</f>
        <v/>
      </c>
      <c r="E18" s="47">
        <f>D20</f>
        <v/>
      </c>
      <c r="F18" s="47">
        <f>E20</f>
        <v/>
      </c>
      <c r="G18" s="47">
        <f>F20</f>
        <v/>
      </c>
      <c r="H18" s="47">
        <f>G20</f>
        <v/>
      </c>
      <c r="I18" s="47">
        <f>H20</f>
        <v/>
      </c>
      <c r="J18" s="47">
        <f>I20</f>
        <v/>
      </c>
      <c r="K18" s="47">
        <f>J20</f>
        <v/>
      </c>
      <c r="L18" s="47">
        <f>K20</f>
        <v/>
      </c>
      <c r="M18" s="47">
        <f>L20</f>
        <v/>
      </c>
      <c r="N18" s="47">
        <f>M20</f>
        <v/>
      </c>
      <c r="O18" s="47">
        <f>N20</f>
        <v/>
      </c>
    </row>
    <row r="19">
      <c r="A19" s="29" t="inlineStr">
        <is>
          <t>Días de cobertura de stock</t>
        </is>
      </c>
      <c r="B19" s="55">
        <f>SUM(D19:O19)</f>
        <v/>
      </c>
      <c r="C19" s="56">
        <f>0</f>
        <v/>
      </c>
      <c r="D19" s="56">
        <f>IFERROR((C23+D18)/(D17/30),999)</f>
        <v/>
      </c>
      <c r="E19" s="56">
        <f>IFERROR((D23+E18)/(E17/30),999)</f>
        <v/>
      </c>
      <c r="F19" s="56">
        <f>IFERROR((E23+F18)/(F17/30),999)</f>
        <v/>
      </c>
      <c r="G19" s="56">
        <f>IFERROR((F23+G18)/(G17/30),999)</f>
        <v/>
      </c>
      <c r="H19" s="56">
        <f>IFERROR((G23+H18)/(H17/30),999)</f>
        <v/>
      </c>
      <c r="I19" s="56">
        <f>IFERROR((H23+I18)/(I17/30),999)</f>
        <v/>
      </c>
      <c r="J19" s="56">
        <f>IFERROR((I23+J18)/(J17/30),999)</f>
        <v/>
      </c>
      <c r="K19" s="56">
        <f>IFERROR((J23+K18)/(K17/30),999)</f>
        <v/>
      </c>
      <c r="L19" s="56">
        <f>IFERROR((K23+L18)/(L17/30),999)</f>
        <v/>
      </c>
      <c r="M19" s="56">
        <f>IFERROR((L23+M18)/(M17/30),999)</f>
        <v/>
      </c>
      <c r="N19" s="56">
        <f>IFERROR((M23+N18)/(N17/30),999)</f>
        <v/>
      </c>
      <c r="O19" s="56">
        <f>IFERROR((N23+O18)/(O17/30),999)</f>
        <v/>
      </c>
    </row>
    <row r="20">
      <c r="A20" s="29" t="inlineStr">
        <is>
          <t>Pedido de reposición generado (€)</t>
        </is>
      </c>
      <c r="B20" s="46">
        <f>SUM(D20:O20)</f>
        <v/>
      </c>
      <c r="C20" s="47">
        <f>0</f>
        <v/>
      </c>
      <c r="D20" s="47">
        <f>IF(D19&lt;Supuestos!$B$100,D17*Supuestos!$B$101/30,0)</f>
        <v/>
      </c>
      <c r="E20" s="47">
        <f>IF(E19&lt;Supuestos!$B$100,E17*Supuestos!$B$101/30,0)</f>
        <v/>
      </c>
      <c r="F20" s="47">
        <f>IF(F19&lt;Supuestos!$B$100,F17*Supuestos!$B$101/30,0)</f>
        <v/>
      </c>
      <c r="G20" s="47">
        <f>IF(G19&lt;Supuestos!$B$100,G17*Supuestos!$B$101/30,0)</f>
        <v/>
      </c>
      <c r="H20" s="47">
        <f>IF(H19&lt;Supuestos!$B$100,H17*Supuestos!$B$101/30,0)</f>
        <v/>
      </c>
      <c r="I20" s="47">
        <f>IF(I19&lt;Supuestos!$B$100,I17*Supuestos!$B$101/30,0)</f>
        <v/>
      </c>
      <c r="J20" s="47">
        <f>IF(J19&lt;Supuestos!$B$100,J17*Supuestos!$B$101/30,0)</f>
        <v/>
      </c>
      <c r="K20" s="47">
        <f>IF(K19&lt;Supuestos!$B$100,K17*Supuestos!$B$101/30,0)</f>
        <v/>
      </c>
      <c r="L20" s="47">
        <f>IF(L19&lt;Supuestos!$B$100,L17*Supuestos!$B$101/30,0)</f>
        <v/>
      </c>
      <c r="M20" s="47">
        <f>IF(M19&lt;Supuestos!$B$100,M17*Supuestos!$B$101/30,0)</f>
        <v/>
      </c>
      <c r="N20" s="47">
        <f>IF(N19&lt;Supuestos!$B$100,N17*Supuestos!$B$101/30,0)</f>
        <v/>
      </c>
      <c r="O20" s="47">
        <f>IF(O19&lt;Supuestos!$B$100,O17*Supuestos!$B$101/30,0)</f>
        <v/>
      </c>
    </row>
    <row r="21">
      <c r="A21" s="29" t="inlineStr">
        <is>
          <t>Pago depósito 30% a proveedor (€)</t>
        </is>
      </c>
      <c r="B21" s="46">
        <f>SUM(D21:O21)</f>
        <v/>
      </c>
      <c r="C21" s="47">
        <f>Supuestos!$B$97*Supuestos!$B$98</f>
        <v/>
      </c>
      <c r="D21" s="47">
        <f>D20*Supuestos!$B$98</f>
        <v/>
      </c>
      <c r="E21" s="47">
        <f>E20*Supuestos!$B$98</f>
        <v/>
      </c>
      <c r="F21" s="47">
        <f>F20*Supuestos!$B$98</f>
        <v/>
      </c>
      <c r="G21" s="47">
        <f>G20*Supuestos!$B$98</f>
        <v/>
      </c>
      <c r="H21" s="47">
        <f>H20*Supuestos!$B$98</f>
        <v/>
      </c>
      <c r="I21" s="47">
        <f>I20*Supuestos!$B$98</f>
        <v/>
      </c>
      <c r="J21" s="47">
        <f>J20*Supuestos!$B$98</f>
        <v/>
      </c>
      <c r="K21" s="47">
        <f>K20*Supuestos!$B$98</f>
        <v/>
      </c>
      <c r="L21" s="47">
        <f>L20*Supuestos!$B$98</f>
        <v/>
      </c>
      <c r="M21" s="47">
        <f>M20*Supuestos!$B$98</f>
        <v/>
      </c>
      <c r="N21" s="47">
        <f>N20*Supuestos!$B$98</f>
        <v/>
      </c>
      <c r="O21" s="47">
        <f>O20*Supuestos!$B$98</f>
        <v/>
      </c>
    </row>
    <row r="22">
      <c r="A22" s="29" t="inlineStr">
        <is>
          <t>Pago saldo 70% a proveedor (€)</t>
        </is>
      </c>
      <c r="B22" s="46">
        <f>SUM(D22:O22)</f>
        <v/>
      </c>
      <c r="C22" s="47">
        <f>0</f>
        <v/>
      </c>
      <c r="D22" s="47">
        <f>Supuestos!$B$97*Supuestos!$B$99</f>
        <v/>
      </c>
      <c r="E22" s="47">
        <f>D20*Supuestos!$B$99</f>
        <v/>
      </c>
      <c r="F22" s="47">
        <f>E20*Supuestos!$B$99</f>
        <v/>
      </c>
      <c r="G22" s="47">
        <f>F20*Supuestos!$B$99</f>
        <v/>
      </c>
      <c r="H22" s="47">
        <f>G20*Supuestos!$B$99</f>
        <v/>
      </c>
      <c r="I22" s="47">
        <f>H20*Supuestos!$B$99</f>
        <v/>
      </c>
      <c r="J22" s="47">
        <f>I20*Supuestos!$B$99</f>
        <v/>
      </c>
      <c r="K22" s="47">
        <f>J20*Supuestos!$B$99</f>
        <v/>
      </c>
      <c r="L22" s="47">
        <f>K20*Supuestos!$B$99</f>
        <v/>
      </c>
      <c r="M22" s="47">
        <f>L20*Supuestos!$B$99</f>
        <v/>
      </c>
      <c r="N22" s="47">
        <f>M20*Supuestos!$B$99</f>
        <v/>
      </c>
      <c r="O22" s="47">
        <f>N20*Supuestos!$B$99</f>
        <v/>
      </c>
    </row>
    <row r="23">
      <c r="A23" s="29" t="inlineStr">
        <is>
          <t>Inventario en balance, fin de mes (€)</t>
        </is>
      </c>
      <c r="B23" s="46">
        <f>O23</f>
        <v/>
      </c>
      <c r="C23" s="47">
        <f>0</f>
        <v/>
      </c>
      <c r="D23" s="47">
        <f>C23+D18-D17</f>
        <v/>
      </c>
      <c r="E23" s="47">
        <f>D23+E18-E17</f>
        <v/>
      </c>
      <c r="F23" s="47">
        <f>E23+F18-F17</f>
        <v/>
      </c>
      <c r="G23" s="47">
        <f>F23+G18-G17</f>
        <v/>
      </c>
      <c r="H23" s="47">
        <f>G23+H18-H17</f>
        <v/>
      </c>
      <c r="I23" s="47">
        <f>H23+I18-I17</f>
        <v/>
      </c>
      <c r="J23" s="47">
        <f>I23+J18-J17</f>
        <v/>
      </c>
      <c r="K23" s="47">
        <f>J23+K18-K17</f>
        <v/>
      </c>
      <c r="L23" s="47">
        <f>K23+L18-L17</f>
        <v/>
      </c>
      <c r="M23" s="47">
        <f>L23+M18-M17</f>
        <v/>
      </c>
      <c r="N23" s="47">
        <f>M23+N18-N17</f>
        <v/>
      </c>
      <c r="O23" s="47">
        <f>N23+O18-O17</f>
        <v/>
      </c>
    </row>
    <row r="24">
      <c r="A24" s="43" t="inlineStr">
        <is>
          <t>Cobros y pagos operativos</t>
        </is>
      </c>
    </row>
    <row r="25">
      <c r="A25" s="29" t="inlineStr">
        <is>
          <t>Cobros de clientes (Stripe, D+2) (€)</t>
        </is>
      </c>
      <c r="B25" s="46">
        <f>SUM(D25:O25)</f>
        <v/>
      </c>
      <c r="C25" s="47">
        <f>0</f>
        <v/>
      </c>
      <c r="D25" s="47">
        <f>'PyG 12 meses'!C15*(1-Supuestos!$B$102/30)</f>
        <v/>
      </c>
      <c r="E25" s="47">
        <f>'PyG 12 meses'!D15*(1-Supuestos!$B$102/30)+'PyG 12 meses'!C15*(Supuestos!$B$102/30)</f>
        <v/>
      </c>
      <c r="F25" s="47">
        <f>'PyG 12 meses'!E15*(1-Supuestos!$B$102/30)+'PyG 12 meses'!D15*(Supuestos!$B$102/30)</f>
        <v/>
      </c>
      <c r="G25" s="47">
        <f>'PyG 12 meses'!F15*(1-Supuestos!$B$102/30)+'PyG 12 meses'!E15*(Supuestos!$B$102/30)</f>
        <v/>
      </c>
      <c r="H25" s="47">
        <f>'PyG 12 meses'!G15*(1-Supuestos!$B$102/30)+'PyG 12 meses'!F15*(Supuestos!$B$102/30)</f>
        <v/>
      </c>
      <c r="I25" s="47">
        <f>'PyG 12 meses'!H15*(1-Supuestos!$B$102/30)+'PyG 12 meses'!G15*(Supuestos!$B$102/30)</f>
        <v/>
      </c>
      <c r="J25" s="47">
        <f>'PyG 12 meses'!I15*(1-Supuestos!$B$102/30)+'PyG 12 meses'!H15*(Supuestos!$B$102/30)</f>
        <v/>
      </c>
      <c r="K25" s="47">
        <f>'PyG 12 meses'!J15*(1-Supuestos!$B$102/30)+'PyG 12 meses'!I15*(Supuestos!$B$102/30)</f>
        <v/>
      </c>
      <c r="L25" s="47">
        <f>'PyG 12 meses'!K15*(1-Supuestos!$B$102/30)+'PyG 12 meses'!J15*(Supuestos!$B$102/30)</f>
        <v/>
      </c>
      <c r="M25" s="47">
        <f>'PyG 12 meses'!L15*(1-Supuestos!$B$102/30)+'PyG 12 meses'!K15*(Supuestos!$B$102/30)</f>
        <v/>
      </c>
      <c r="N25" s="47">
        <f>'PyG 12 meses'!M15*(1-Supuestos!$B$102/30)+'PyG 12 meses'!L15*(Supuestos!$B$102/30)</f>
        <v/>
      </c>
      <c r="O25" s="47">
        <f>'PyG 12 meses'!N15*(1-Supuestos!$B$102/30)+'PyG 12 meses'!M15*(Supuestos!$B$102/30)</f>
        <v/>
      </c>
    </row>
    <row r="26">
      <c r="A26" s="29" t="inlineStr">
        <is>
          <t>Pago costes variables no-COGS (€)</t>
        </is>
      </c>
      <c r="B26" s="46">
        <f>SUM(D26:O26)</f>
        <v/>
      </c>
      <c r="C26" s="47">
        <f>0</f>
        <v/>
      </c>
      <c r="D26" s="47">
        <f>'PyG 12 meses'!C19+'PyG 12 meses'!C20+'PyG 12 meses'!C21+'PyG 12 meses'!C22</f>
        <v/>
      </c>
      <c r="E26" s="47">
        <f>'PyG 12 meses'!D19+'PyG 12 meses'!D20+'PyG 12 meses'!D21+'PyG 12 meses'!D22</f>
        <v/>
      </c>
      <c r="F26" s="47">
        <f>'PyG 12 meses'!E19+'PyG 12 meses'!E20+'PyG 12 meses'!E21+'PyG 12 meses'!E22</f>
        <v/>
      </c>
      <c r="G26" s="47">
        <f>'PyG 12 meses'!F19+'PyG 12 meses'!F20+'PyG 12 meses'!F21+'PyG 12 meses'!F22</f>
        <v/>
      </c>
      <c r="H26" s="47">
        <f>'PyG 12 meses'!G19+'PyG 12 meses'!G20+'PyG 12 meses'!G21+'PyG 12 meses'!G22</f>
        <v/>
      </c>
      <c r="I26" s="47">
        <f>'PyG 12 meses'!H19+'PyG 12 meses'!H20+'PyG 12 meses'!H21+'PyG 12 meses'!H22</f>
        <v/>
      </c>
      <c r="J26" s="47">
        <f>'PyG 12 meses'!I19+'PyG 12 meses'!I20+'PyG 12 meses'!I21+'PyG 12 meses'!I22</f>
        <v/>
      </c>
      <c r="K26" s="47">
        <f>'PyG 12 meses'!J19+'PyG 12 meses'!J20+'PyG 12 meses'!J21+'PyG 12 meses'!J22</f>
        <v/>
      </c>
      <c r="L26" s="47">
        <f>'PyG 12 meses'!K19+'PyG 12 meses'!K20+'PyG 12 meses'!K21+'PyG 12 meses'!K22</f>
        <v/>
      </c>
      <c r="M26" s="47">
        <f>'PyG 12 meses'!L19+'PyG 12 meses'!L20+'PyG 12 meses'!L21+'PyG 12 meses'!L22</f>
        <v/>
      </c>
      <c r="N26" s="47">
        <f>'PyG 12 meses'!M19+'PyG 12 meses'!M20+'PyG 12 meses'!M21+'PyG 12 meses'!M22</f>
        <v/>
      </c>
      <c r="O26" s="47">
        <f>'PyG 12 meses'!N19+'PyG 12 meses'!N20+'PyG 12 meses'!N21+'PyG 12 meses'!N22</f>
        <v/>
      </c>
    </row>
    <row r="27">
      <c r="A27" s="29" t="inlineStr">
        <is>
          <t>Pago costes fijos (€)</t>
        </is>
      </c>
      <c r="B27" s="46">
        <f>SUM(D27:O27)</f>
        <v/>
      </c>
      <c r="C27" s="47">
        <f>0</f>
        <v/>
      </c>
      <c r="D27" s="47">
        <f>'PyG 12 meses'!C35</f>
        <v/>
      </c>
      <c r="E27" s="47">
        <f>'PyG 12 meses'!D35</f>
        <v/>
      </c>
      <c r="F27" s="47">
        <f>'PyG 12 meses'!E35</f>
        <v/>
      </c>
      <c r="G27" s="47">
        <f>'PyG 12 meses'!F35</f>
        <v/>
      </c>
      <c r="H27" s="47">
        <f>'PyG 12 meses'!G35</f>
        <v/>
      </c>
      <c r="I27" s="47">
        <f>'PyG 12 meses'!H35</f>
        <v/>
      </c>
      <c r="J27" s="47">
        <f>'PyG 12 meses'!I35</f>
        <v/>
      </c>
      <c r="K27" s="47">
        <f>'PyG 12 meses'!J35</f>
        <v/>
      </c>
      <c r="L27" s="47">
        <f>'PyG 12 meses'!K35</f>
        <v/>
      </c>
      <c r="M27" s="47">
        <f>'PyG 12 meses'!L35</f>
        <v/>
      </c>
      <c r="N27" s="47">
        <f>'PyG 12 meses'!M35</f>
        <v/>
      </c>
      <c r="O27" s="47">
        <f>'PyG 12 meses'!N35</f>
        <v/>
      </c>
    </row>
    <row r="28">
      <c r="A28" s="29" t="inlineStr">
        <is>
          <t>Pago inversión en Ads (€)</t>
        </is>
      </c>
      <c r="B28" s="46">
        <f>SUM(D28:O28)</f>
        <v/>
      </c>
      <c r="C28" s="47">
        <f>0</f>
        <v/>
      </c>
      <c r="D28" s="47">
        <f>'PyG 12 meses'!C7</f>
        <v/>
      </c>
      <c r="E28" s="47">
        <f>'PyG 12 meses'!D7</f>
        <v/>
      </c>
      <c r="F28" s="47">
        <f>'PyG 12 meses'!E7</f>
        <v/>
      </c>
      <c r="G28" s="47">
        <f>'PyG 12 meses'!F7</f>
        <v/>
      </c>
      <c r="H28" s="47">
        <f>'PyG 12 meses'!G7</f>
        <v/>
      </c>
      <c r="I28" s="47">
        <f>'PyG 12 meses'!H7</f>
        <v/>
      </c>
      <c r="J28" s="47">
        <f>'PyG 12 meses'!I7</f>
        <v/>
      </c>
      <c r="K28" s="47">
        <f>'PyG 12 meses'!J7</f>
        <v/>
      </c>
      <c r="L28" s="47">
        <f>'PyG 12 meses'!K7</f>
        <v/>
      </c>
      <c r="M28" s="47">
        <f>'PyG 12 meses'!L7</f>
        <v/>
      </c>
      <c r="N28" s="47">
        <f>'PyG 12 meses'!M7</f>
        <v/>
      </c>
      <c r="O28" s="47">
        <f>'PyG 12 meses'!N7</f>
        <v/>
      </c>
    </row>
    <row r="29">
      <c r="A29" s="29" t="inlineStr">
        <is>
          <t>IVA devengado del mes (repercutido - soportado) (€)</t>
        </is>
      </c>
      <c r="B29" s="46">
        <f>SUM(D29:O29)</f>
        <v/>
      </c>
      <c r="C29" s="47">
        <f>0</f>
        <v/>
      </c>
      <c r="D29" s="47">
        <f>'PyG 12 meses'!C15-'PyG 12 meses'!C16-(Supuestos!$B$7)*(D17+'PyG 12 meses'!C35)</f>
        <v/>
      </c>
      <c r="E29" s="47">
        <f>'PyG 12 meses'!D15-'PyG 12 meses'!D16-(Supuestos!$B$7)*(E17+'PyG 12 meses'!D35)</f>
        <v/>
      </c>
      <c r="F29" s="47">
        <f>'PyG 12 meses'!E15-'PyG 12 meses'!E16-(Supuestos!$B$7)*(F17+'PyG 12 meses'!E35)</f>
        <v/>
      </c>
      <c r="G29" s="47">
        <f>'PyG 12 meses'!F15-'PyG 12 meses'!F16-(Supuestos!$B$7)*(G17+'PyG 12 meses'!F35)</f>
        <v/>
      </c>
      <c r="H29" s="47">
        <f>'PyG 12 meses'!G15-'PyG 12 meses'!G16-(Supuestos!$B$7)*(H17+'PyG 12 meses'!G35)</f>
        <v/>
      </c>
      <c r="I29" s="47">
        <f>'PyG 12 meses'!H15-'PyG 12 meses'!H16-(Supuestos!$B$7)*(I17+'PyG 12 meses'!H35)</f>
        <v/>
      </c>
      <c r="J29" s="47">
        <f>'PyG 12 meses'!I15-'PyG 12 meses'!I16-(Supuestos!$B$7)*(J17+'PyG 12 meses'!I35)</f>
        <v/>
      </c>
      <c r="K29" s="47">
        <f>'PyG 12 meses'!J15-'PyG 12 meses'!J16-(Supuestos!$B$7)*(K17+'PyG 12 meses'!J35)</f>
        <v/>
      </c>
      <c r="L29" s="47">
        <f>'PyG 12 meses'!K15-'PyG 12 meses'!K16-(Supuestos!$B$7)*(L17+'PyG 12 meses'!K35)</f>
        <v/>
      </c>
      <c r="M29" s="47">
        <f>'PyG 12 meses'!L15-'PyG 12 meses'!L16-(Supuestos!$B$7)*(M17+'PyG 12 meses'!L35)</f>
        <v/>
      </c>
      <c r="N29" s="47">
        <f>'PyG 12 meses'!M15-'PyG 12 meses'!M16-(Supuestos!$B$7)*(N17+'PyG 12 meses'!M35)</f>
        <v/>
      </c>
      <c r="O29" s="47">
        <f>'PyG 12 meses'!N15-'PyG 12 meses'!N16-(Supuestos!$B$7)*(O17+'PyG 12 meses'!N35)</f>
        <v/>
      </c>
    </row>
    <row r="30">
      <c r="A30" s="29" t="inlineStr">
        <is>
          <t>IVA liquidado (pago trimestral) (€)</t>
        </is>
      </c>
      <c r="B30" s="46">
        <f>SUM(D30:O30)</f>
        <v/>
      </c>
      <c r="C30" s="47">
        <f>0</f>
        <v/>
      </c>
      <c r="D30" s="47">
        <f>0</f>
        <v/>
      </c>
      <c r="E30" s="47">
        <f>0</f>
        <v/>
      </c>
      <c r="F30" s="47">
        <f>0</f>
        <v/>
      </c>
      <c r="G30" s="47">
        <f>SUM(D29:F29)</f>
        <v/>
      </c>
      <c r="H30" s="47">
        <f>0</f>
        <v/>
      </c>
      <c r="I30" s="47">
        <f>0</f>
        <v/>
      </c>
      <c r="J30" s="47">
        <f>SUM(G29:I29)</f>
        <v/>
      </c>
      <c r="K30" s="47">
        <f>0</f>
        <v/>
      </c>
      <c r="L30" s="47">
        <f>0</f>
        <v/>
      </c>
      <c r="M30" s="47">
        <f>SUM(J29:L29)</f>
        <v/>
      </c>
      <c r="N30" s="47">
        <f>0</f>
        <v/>
      </c>
      <c r="O30" s="47">
        <f>0</f>
        <v/>
      </c>
    </row>
    <row r="31">
      <c r="A31" s="43" t="inlineStr">
        <is>
          <t>Resumen de caja</t>
        </is>
      </c>
    </row>
    <row r="32">
      <c r="A32" s="29" t="inlineStr">
        <is>
          <t>Caja inicial del mes (€)</t>
        </is>
      </c>
      <c r="B32" s="46">
        <f>SUM(D32:O32)</f>
        <v/>
      </c>
      <c r="C32" s="47">
        <f>0</f>
        <v/>
      </c>
      <c r="D32" s="47">
        <f>C35</f>
        <v/>
      </c>
      <c r="E32" s="47">
        <f>D35</f>
        <v/>
      </c>
      <c r="F32" s="47">
        <f>E35</f>
        <v/>
      </c>
      <c r="G32" s="47">
        <f>F35</f>
        <v/>
      </c>
      <c r="H32" s="47">
        <f>G35</f>
        <v/>
      </c>
      <c r="I32" s="47">
        <f>H35</f>
        <v/>
      </c>
      <c r="J32" s="47">
        <f>I35</f>
        <v/>
      </c>
      <c r="K32" s="47">
        <f>J35</f>
        <v/>
      </c>
      <c r="L32" s="47">
        <f>K35</f>
        <v/>
      </c>
      <c r="M32" s="47">
        <f>L35</f>
        <v/>
      </c>
      <c r="N32" s="47">
        <f>M35</f>
        <v/>
      </c>
      <c r="O32" s="47">
        <f>N35</f>
        <v/>
      </c>
    </row>
    <row r="33">
      <c r="A33" s="50" t="inlineStr">
        <is>
          <t>Total entradas (€)</t>
        </is>
      </c>
      <c r="B33" s="46">
        <f>SUM(D33:O33)</f>
        <v/>
      </c>
      <c r="C33" s="46">
        <f>Supuestos!$B$96</f>
        <v/>
      </c>
      <c r="D33" s="46">
        <f>D25</f>
        <v/>
      </c>
      <c r="E33" s="46">
        <f>E25</f>
        <v/>
      </c>
      <c r="F33" s="46">
        <f>F25</f>
        <v/>
      </c>
      <c r="G33" s="46">
        <f>G25</f>
        <v/>
      </c>
      <c r="H33" s="46">
        <f>H25</f>
        <v/>
      </c>
      <c r="I33" s="46">
        <f>I25</f>
        <v/>
      </c>
      <c r="J33" s="46">
        <f>J25</f>
        <v/>
      </c>
      <c r="K33" s="46">
        <f>K25</f>
        <v/>
      </c>
      <c r="L33" s="46">
        <f>L25</f>
        <v/>
      </c>
      <c r="M33" s="46">
        <f>M25</f>
        <v/>
      </c>
      <c r="N33" s="46">
        <f>N25</f>
        <v/>
      </c>
      <c r="O33" s="46">
        <f>O25</f>
        <v/>
      </c>
    </row>
    <row r="34">
      <c r="A34" s="50" t="inlineStr">
        <is>
          <t>Total salidas (€)</t>
        </is>
      </c>
      <c r="B34" s="46">
        <f>SUM(D34:O34)</f>
        <v/>
      </c>
      <c r="C34" s="46">
        <f>C15+C21</f>
        <v/>
      </c>
      <c r="D34" s="46">
        <f>D21+D22+D26+D27+D28+D30</f>
        <v/>
      </c>
      <c r="E34" s="46">
        <f>E21+E22+E26+E27+E28+E30</f>
        <v/>
      </c>
      <c r="F34" s="46">
        <f>F21+F22+F26+F27+F28+F30</f>
        <v/>
      </c>
      <c r="G34" s="46">
        <f>G21+G22+G26+G27+G28+G30</f>
        <v/>
      </c>
      <c r="H34" s="46">
        <f>H21+H22+H26+H27+H28+H30</f>
        <v/>
      </c>
      <c r="I34" s="46">
        <f>I21+I22+I26+I27+I28+I30</f>
        <v/>
      </c>
      <c r="J34" s="46">
        <f>J21+J22+J26+J27+J28+J30</f>
        <v/>
      </c>
      <c r="K34" s="46">
        <f>K21+K22+K26+K27+K28+K30</f>
        <v/>
      </c>
      <c r="L34" s="46">
        <f>L21+L22+L26+L27+L28+L30</f>
        <v/>
      </c>
      <c r="M34" s="46">
        <f>M21+M22+M26+M27+M28+M30</f>
        <v/>
      </c>
      <c r="N34" s="46">
        <f>N21+N22+N26+N27+N28+N30</f>
        <v/>
      </c>
      <c r="O34" s="46">
        <f>O21+O22+O26+O27+O28+O30</f>
        <v/>
      </c>
    </row>
    <row r="35">
      <c r="A35" s="50" t="inlineStr">
        <is>
          <t>Caja final del mes (€)</t>
        </is>
      </c>
      <c r="B35" s="46">
        <f>O35</f>
        <v/>
      </c>
      <c r="C35" s="46">
        <f>C32+C33-C34</f>
        <v/>
      </c>
      <c r="D35" s="46">
        <f>D32+D33-D34</f>
        <v/>
      </c>
      <c r="E35" s="46">
        <f>E32+E33-E34</f>
        <v/>
      </c>
      <c r="F35" s="46">
        <f>F32+F33-F34</f>
        <v/>
      </c>
      <c r="G35" s="46">
        <f>G32+G33-G34</f>
        <v/>
      </c>
      <c r="H35" s="46">
        <f>H32+H33-H34</f>
        <v/>
      </c>
      <c r="I35" s="46">
        <f>I32+I33-I34</f>
        <v/>
      </c>
      <c r="J35" s="46">
        <f>J32+J33-J34</f>
        <v/>
      </c>
      <c r="K35" s="46">
        <f>K32+K33-K34</f>
        <v/>
      </c>
      <c r="L35" s="46">
        <f>L32+L33-L34</f>
        <v/>
      </c>
      <c r="M35" s="46">
        <f>M32+M33-M34</f>
        <v/>
      </c>
      <c r="N35" s="46">
        <f>N32+N33-N34</f>
        <v/>
      </c>
      <c r="O35" s="46">
        <f>O32+O33-O34</f>
        <v/>
      </c>
    </row>
    <row r="37">
      <c r="A37" s="57" t="inlineStr">
        <is>
          <t>Caja mínima alcanzada (€)</t>
        </is>
      </c>
      <c r="B37" s="58">
        <f>MIN(D35:O35)</f>
        <v/>
      </c>
    </row>
    <row r="38">
      <c r="A38" s="57" t="inlineStr">
        <is>
          <t>Mes de caja mínima</t>
        </is>
      </c>
      <c r="B38" s="57">
        <f>INDEX(D4:O4,MATCH(B37,D35:O35,0))</f>
        <v/>
      </c>
    </row>
  </sheetData>
  <mergeCells count="5">
    <mergeCell ref="A24:O24"/>
    <mergeCell ref="A16:O16"/>
    <mergeCell ref="A1:O1"/>
    <mergeCell ref="A5:O5"/>
    <mergeCell ref="A31:O31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6" customWidth="1" min="2" max="2"/>
    <col width="60" customWidth="1" min="3" max="3"/>
  </cols>
  <sheetData>
    <row r="1">
      <c r="A1" s="1" t="inlineStr">
        <is>
          <t>NOCTA — Punto muerto (break-even) mensual</t>
        </is>
      </c>
    </row>
    <row r="2">
      <c r="A2" s="2" t="inlineStr">
        <is>
          <t>Calculado sobre el mix de ventas medio ponderado (hoja Unit Economics SKU) y los costes fijos del escenario activo.</t>
        </is>
      </c>
    </row>
    <row r="4">
      <c r="A4" s="28" t="inlineStr">
        <is>
          <t>Concepto</t>
        </is>
      </c>
      <c r="B4" s="28" t="inlineStr">
        <is>
          <t>Valor</t>
        </is>
      </c>
      <c r="C4" s="28" t="inlineStr">
        <is>
          <t>Nota</t>
        </is>
      </c>
    </row>
    <row r="5">
      <c r="A5" s="29" t="inlineStr">
        <is>
          <t>AOV medio ponderado (€, con IVA, mix medio)</t>
        </is>
      </c>
      <c r="B5" s="45">
        <f>'Unit Economics SKU'!$D$19</f>
        <v/>
      </c>
      <c r="C5" s="39" t="inlineStr"/>
    </row>
    <row r="6">
      <c r="A6" s="29" t="inlineStr">
        <is>
          <t>Margen de contribución medio por pedido (€, tras logística/pasarela, antes de Ads)</t>
        </is>
      </c>
      <c r="B6" s="45">
        <f>'Unit Economics SKU'!$Z$19</f>
        <v/>
      </c>
      <c r="C6" s="39" t="inlineStr"/>
    </row>
    <row r="7">
      <c r="A7" s="29" t="inlineStr">
        <is>
          <t>Costes fijos mensuales totales (€)</t>
        </is>
      </c>
      <c r="B7" s="47">
        <f>Supuestos!$B$10+Supuestos!$B$79+Supuestos!$B$80+Supuestos!$B$106+Supuestos!$B$107</f>
        <v/>
      </c>
      <c r="C7" s="39" t="inlineStr"/>
    </row>
    <row r="8">
      <c r="A8" s="29" t="inlineStr">
        <is>
          <t>CPA máximo rentable en el primer pedido (€)</t>
        </is>
      </c>
      <c r="B8" s="45">
        <f>B6</f>
        <v/>
      </c>
      <c r="C8" s="39" t="inlineStr">
        <is>
          <t>Si el CPA supera el margen de contribución por pedido, cada venta nueva pierde dinero incluso antes de costes fijos.</t>
        </is>
      </c>
    </row>
    <row r="9">
      <c r="A9" s="29" t="inlineStr">
        <is>
          <t>Punto muerto — pedidos/mes</t>
        </is>
      </c>
      <c r="B9" s="56">
        <f>B7/B6</f>
        <v/>
      </c>
      <c r="C9" s="39" t="inlineStr"/>
    </row>
    <row r="10">
      <c r="A10" s="29" t="inlineStr">
        <is>
          <t>Punto muerto — ingresos/mes (€, con IVA)</t>
        </is>
      </c>
      <c r="B10" s="47">
        <f>B9*B5</f>
        <v/>
      </c>
      <c r="C10" s="39" t="inlineStr"/>
    </row>
    <row r="11">
      <c r="A11" s="29" t="inlineStr">
        <is>
          <t>Techo de inversión en Ads del escenario activo (€/mes)</t>
        </is>
      </c>
      <c r="B11" s="47">
        <f>Supuestos!$B$121</f>
        <v/>
      </c>
      <c r="C11" s="39" t="inlineStr"/>
    </row>
    <row r="13">
      <c r="A13" s="43" t="inlineStr">
        <is>
          <t>Sensibilidad: margen de contribución mensual según CPA × AOV</t>
        </is>
      </c>
    </row>
    <row r="14">
      <c r="A14" s="2" t="inlineStr">
        <is>
          <t>Para un presupuesto de Ads fijo (referencia: mes 12 del escenario activo). Pedidos = Presupuesto/CPA. Coste variable no-marketing asumido constante en € por pedido (media ponderada del mix), salvo la comisión de pago, que escala con el AOV.</t>
        </is>
      </c>
    </row>
    <row r="15">
      <c r="A15" s="59" t="inlineStr">
        <is>
          <t>Presupuesto de Ads de referencia (€/mes)</t>
        </is>
      </c>
      <c r="B15" s="60">
        <f>'PyG 12 meses'!N7</f>
        <v/>
      </c>
    </row>
    <row r="16">
      <c r="A16" s="61" t="inlineStr">
        <is>
          <t>CPA \ AOV →</t>
        </is>
      </c>
      <c r="B16" s="62" t="n">
        <v>26</v>
      </c>
      <c r="C16" s="62" t="n">
        <v>29</v>
      </c>
      <c r="D16" s="62" t="n">
        <v>32</v>
      </c>
      <c r="E16" s="62" t="n">
        <v>35</v>
      </c>
      <c r="F16" s="62" t="n">
        <v>38</v>
      </c>
      <c r="G16" s="62" t="n">
        <v>40</v>
      </c>
    </row>
    <row r="17">
      <c r="A17" s="44" t="n">
        <v>8</v>
      </c>
      <c r="B17" s="63">
        <f>('PyG 12 meses'!N7/8)*((26/(1+Supuestos!$B$7))-('Unit Economics SKU'!$O$19+'Unit Economics SKU'!$V$19+'Unit Economics SKU'!$W$19+'Unit Economics SKU'!$X$19-'Unit Economics SKU'!$Y$19)-(26*Supuestos!$B$12+Supuestos!$B$13))-'PyG 12 meses'!N7</f>
        <v/>
      </c>
      <c r="C17" s="63">
        <f>('PyG 12 meses'!N7/8)*((29/(1+Supuestos!$B$7))-('Unit Economics SKU'!$O$19+'Unit Economics SKU'!$V$19+'Unit Economics SKU'!$W$19+'Unit Economics SKU'!$X$19-'Unit Economics SKU'!$Y$19)-(29*Supuestos!$B$12+Supuestos!$B$13))-'PyG 12 meses'!N7</f>
        <v/>
      </c>
      <c r="D17" s="63">
        <f>('PyG 12 meses'!N7/8)*((32/(1+Supuestos!$B$7))-('Unit Economics SKU'!$O$19+'Unit Economics SKU'!$V$19+'Unit Economics SKU'!$W$19+'Unit Economics SKU'!$X$19-'Unit Economics SKU'!$Y$19)-(32*Supuestos!$B$12+Supuestos!$B$13))-'PyG 12 meses'!N7</f>
        <v/>
      </c>
      <c r="E17" s="63">
        <f>('PyG 12 meses'!N7/8)*((35/(1+Supuestos!$B$7))-('Unit Economics SKU'!$O$19+'Unit Economics SKU'!$V$19+'Unit Economics SKU'!$W$19+'Unit Economics SKU'!$X$19-'Unit Economics SKU'!$Y$19)-(35*Supuestos!$B$12+Supuestos!$B$13))-'PyG 12 meses'!N7</f>
        <v/>
      </c>
      <c r="F17" s="63">
        <f>('PyG 12 meses'!N7/8)*((38/(1+Supuestos!$B$7))-('Unit Economics SKU'!$O$19+'Unit Economics SKU'!$V$19+'Unit Economics SKU'!$W$19+'Unit Economics SKU'!$X$19-'Unit Economics SKU'!$Y$19)-(38*Supuestos!$B$12+Supuestos!$B$13))-'PyG 12 meses'!N7</f>
        <v/>
      </c>
      <c r="G17" s="63">
        <f>('PyG 12 meses'!N7/8)*((40/(1+Supuestos!$B$7))-('Unit Economics SKU'!$O$19+'Unit Economics SKU'!$V$19+'Unit Economics SKU'!$W$19+'Unit Economics SKU'!$X$19-'Unit Economics SKU'!$Y$19)-(40*Supuestos!$B$12+Supuestos!$B$13))-'PyG 12 meses'!N7</f>
        <v/>
      </c>
    </row>
    <row r="18">
      <c r="A18" s="44" t="n">
        <v>10</v>
      </c>
      <c r="B18" s="63">
        <f>('PyG 12 meses'!N7/10)*((26/(1+Supuestos!$B$7))-('Unit Economics SKU'!$O$19+'Unit Economics SKU'!$V$19+'Unit Economics SKU'!$W$19+'Unit Economics SKU'!$X$19-'Unit Economics SKU'!$Y$19)-(26*Supuestos!$B$12+Supuestos!$B$13))-'PyG 12 meses'!N7</f>
        <v/>
      </c>
      <c r="C18" s="63">
        <f>('PyG 12 meses'!N7/10)*((29/(1+Supuestos!$B$7))-('Unit Economics SKU'!$O$19+'Unit Economics SKU'!$V$19+'Unit Economics SKU'!$W$19+'Unit Economics SKU'!$X$19-'Unit Economics SKU'!$Y$19)-(29*Supuestos!$B$12+Supuestos!$B$13))-'PyG 12 meses'!N7</f>
        <v/>
      </c>
      <c r="D18" s="63">
        <f>('PyG 12 meses'!N7/10)*((32/(1+Supuestos!$B$7))-('Unit Economics SKU'!$O$19+'Unit Economics SKU'!$V$19+'Unit Economics SKU'!$W$19+'Unit Economics SKU'!$X$19-'Unit Economics SKU'!$Y$19)-(32*Supuestos!$B$12+Supuestos!$B$13))-'PyG 12 meses'!N7</f>
        <v/>
      </c>
      <c r="E18" s="63">
        <f>('PyG 12 meses'!N7/10)*((35/(1+Supuestos!$B$7))-('Unit Economics SKU'!$O$19+'Unit Economics SKU'!$V$19+'Unit Economics SKU'!$W$19+'Unit Economics SKU'!$X$19-'Unit Economics SKU'!$Y$19)-(35*Supuestos!$B$12+Supuestos!$B$13))-'PyG 12 meses'!N7</f>
        <v/>
      </c>
      <c r="F18" s="63">
        <f>('PyG 12 meses'!N7/10)*((38/(1+Supuestos!$B$7))-('Unit Economics SKU'!$O$19+'Unit Economics SKU'!$V$19+'Unit Economics SKU'!$W$19+'Unit Economics SKU'!$X$19-'Unit Economics SKU'!$Y$19)-(38*Supuestos!$B$12+Supuestos!$B$13))-'PyG 12 meses'!N7</f>
        <v/>
      </c>
      <c r="G18" s="63">
        <f>('PyG 12 meses'!N7/10)*((40/(1+Supuestos!$B$7))-('Unit Economics SKU'!$O$19+'Unit Economics SKU'!$V$19+'Unit Economics SKU'!$W$19+'Unit Economics SKU'!$X$19-'Unit Economics SKU'!$Y$19)-(40*Supuestos!$B$12+Supuestos!$B$13))-'PyG 12 meses'!N7</f>
        <v/>
      </c>
    </row>
    <row r="19">
      <c r="A19" s="44" t="n">
        <v>12</v>
      </c>
      <c r="B19" s="63">
        <f>('PyG 12 meses'!N7/12)*((26/(1+Supuestos!$B$7))-('Unit Economics SKU'!$O$19+'Unit Economics SKU'!$V$19+'Unit Economics SKU'!$W$19+'Unit Economics SKU'!$X$19-'Unit Economics SKU'!$Y$19)-(26*Supuestos!$B$12+Supuestos!$B$13))-'PyG 12 meses'!N7</f>
        <v/>
      </c>
      <c r="C19" s="63">
        <f>('PyG 12 meses'!N7/12)*((29/(1+Supuestos!$B$7))-('Unit Economics SKU'!$O$19+'Unit Economics SKU'!$V$19+'Unit Economics SKU'!$W$19+'Unit Economics SKU'!$X$19-'Unit Economics SKU'!$Y$19)-(29*Supuestos!$B$12+Supuestos!$B$13))-'PyG 12 meses'!N7</f>
        <v/>
      </c>
      <c r="D19" s="63">
        <f>('PyG 12 meses'!N7/12)*((32/(1+Supuestos!$B$7))-('Unit Economics SKU'!$O$19+'Unit Economics SKU'!$V$19+'Unit Economics SKU'!$W$19+'Unit Economics SKU'!$X$19-'Unit Economics SKU'!$Y$19)-(32*Supuestos!$B$12+Supuestos!$B$13))-'PyG 12 meses'!N7</f>
        <v/>
      </c>
      <c r="E19" s="63">
        <f>('PyG 12 meses'!N7/12)*((35/(1+Supuestos!$B$7))-('Unit Economics SKU'!$O$19+'Unit Economics SKU'!$V$19+'Unit Economics SKU'!$W$19+'Unit Economics SKU'!$X$19-'Unit Economics SKU'!$Y$19)-(35*Supuestos!$B$12+Supuestos!$B$13))-'PyG 12 meses'!N7</f>
        <v/>
      </c>
      <c r="F19" s="63">
        <f>('PyG 12 meses'!N7/12)*((38/(1+Supuestos!$B$7))-('Unit Economics SKU'!$O$19+'Unit Economics SKU'!$V$19+'Unit Economics SKU'!$W$19+'Unit Economics SKU'!$X$19-'Unit Economics SKU'!$Y$19)-(38*Supuestos!$B$12+Supuestos!$B$13))-'PyG 12 meses'!N7</f>
        <v/>
      </c>
      <c r="G19" s="63">
        <f>('PyG 12 meses'!N7/12)*((40/(1+Supuestos!$B$7))-('Unit Economics SKU'!$O$19+'Unit Economics SKU'!$V$19+'Unit Economics SKU'!$W$19+'Unit Economics SKU'!$X$19-'Unit Economics SKU'!$Y$19)-(40*Supuestos!$B$12+Supuestos!$B$13))-'PyG 12 meses'!N7</f>
        <v/>
      </c>
    </row>
    <row r="20">
      <c r="A20" s="44" t="n">
        <v>14</v>
      </c>
      <c r="B20" s="63">
        <f>('PyG 12 meses'!N7/14)*((26/(1+Supuestos!$B$7))-('Unit Economics SKU'!$O$19+'Unit Economics SKU'!$V$19+'Unit Economics SKU'!$W$19+'Unit Economics SKU'!$X$19-'Unit Economics SKU'!$Y$19)-(26*Supuestos!$B$12+Supuestos!$B$13))-'PyG 12 meses'!N7</f>
        <v/>
      </c>
      <c r="C20" s="63">
        <f>('PyG 12 meses'!N7/14)*((29/(1+Supuestos!$B$7))-('Unit Economics SKU'!$O$19+'Unit Economics SKU'!$V$19+'Unit Economics SKU'!$W$19+'Unit Economics SKU'!$X$19-'Unit Economics SKU'!$Y$19)-(29*Supuestos!$B$12+Supuestos!$B$13))-'PyG 12 meses'!N7</f>
        <v/>
      </c>
      <c r="D20" s="63">
        <f>('PyG 12 meses'!N7/14)*((32/(1+Supuestos!$B$7))-('Unit Economics SKU'!$O$19+'Unit Economics SKU'!$V$19+'Unit Economics SKU'!$W$19+'Unit Economics SKU'!$X$19-'Unit Economics SKU'!$Y$19)-(32*Supuestos!$B$12+Supuestos!$B$13))-'PyG 12 meses'!N7</f>
        <v/>
      </c>
      <c r="E20" s="63">
        <f>('PyG 12 meses'!N7/14)*((35/(1+Supuestos!$B$7))-('Unit Economics SKU'!$O$19+'Unit Economics SKU'!$V$19+'Unit Economics SKU'!$W$19+'Unit Economics SKU'!$X$19-'Unit Economics SKU'!$Y$19)-(35*Supuestos!$B$12+Supuestos!$B$13))-'PyG 12 meses'!N7</f>
        <v/>
      </c>
      <c r="F20" s="63">
        <f>('PyG 12 meses'!N7/14)*((38/(1+Supuestos!$B$7))-('Unit Economics SKU'!$O$19+'Unit Economics SKU'!$V$19+'Unit Economics SKU'!$W$19+'Unit Economics SKU'!$X$19-'Unit Economics SKU'!$Y$19)-(38*Supuestos!$B$12+Supuestos!$B$13))-'PyG 12 meses'!N7</f>
        <v/>
      </c>
      <c r="G20" s="63">
        <f>('PyG 12 meses'!N7/14)*((40/(1+Supuestos!$B$7))-('Unit Economics SKU'!$O$19+'Unit Economics SKU'!$V$19+'Unit Economics SKU'!$W$19+'Unit Economics SKU'!$X$19-'Unit Economics SKU'!$Y$19)-(40*Supuestos!$B$12+Supuestos!$B$13))-'PyG 12 meses'!N7</f>
        <v/>
      </c>
    </row>
    <row r="21">
      <c r="A21" s="44" t="n">
        <v>16</v>
      </c>
      <c r="B21" s="63">
        <f>('PyG 12 meses'!N7/16)*((26/(1+Supuestos!$B$7))-('Unit Economics SKU'!$O$19+'Unit Economics SKU'!$V$19+'Unit Economics SKU'!$W$19+'Unit Economics SKU'!$X$19-'Unit Economics SKU'!$Y$19)-(26*Supuestos!$B$12+Supuestos!$B$13))-'PyG 12 meses'!N7</f>
        <v/>
      </c>
      <c r="C21" s="63">
        <f>('PyG 12 meses'!N7/16)*((29/(1+Supuestos!$B$7))-('Unit Economics SKU'!$O$19+'Unit Economics SKU'!$V$19+'Unit Economics SKU'!$W$19+'Unit Economics SKU'!$X$19-'Unit Economics SKU'!$Y$19)-(29*Supuestos!$B$12+Supuestos!$B$13))-'PyG 12 meses'!N7</f>
        <v/>
      </c>
      <c r="D21" s="63">
        <f>('PyG 12 meses'!N7/16)*((32/(1+Supuestos!$B$7))-('Unit Economics SKU'!$O$19+'Unit Economics SKU'!$V$19+'Unit Economics SKU'!$W$19+'Unit Economics SKU'!$X$19-'Unit Economics SKU'!$Y$19)-(32*Supuestos!$B$12+Supuestos!$B$13))-'PyG 12 meses'!N7</f>
        <v/>
      </c>
      <c r="E21" s="63">
        <f>('PyG 12 meses'!N7/16)*((35/(1+Supuestos!$B$7))-('Unit Economics SKU'!$O$19+'Unit Economics SKU'!$V$19+'Unit Economics SKU'!$W$19+'Unit Economics SKU'!$X$19-'Unit Economics SKU'!$Y$19)-(35*Supuestos!$B$12+Supuestos!$B$13))-'PyG 12 meses'!N7</f>
        <v/>
      </c>
      <c r="F21" s="63">
        <f>('PyG 12 meses'!N7/16)*((38/(1+Supuestos!$B$7))-('Unit Economics SKU'!$O$19+'Unit Economics SKU'!$V$19+'Unit Economics SKU'!$W$19+'Unit Economics SKU'!$X$19-'Unit Economics SKU'!$Y$19)-(38*Supuestos!$B$12+Supuestos!$B$13))-'PyG 12 meses'!N7</f>
        <v/>
      </c>
      <c r="G21" s="63">
        <f>('PyG 12 meses'!N7/16)*((40/(1+Supuestos!$B$7))-('Unit Economics SKU'!$O$19+'Unit Economics SKU'!$V$19+'Unit Economics SKU'!$W$19+'Unit Economics SKU'!$X$19-'Unit Economics SKU'!$Y$19)-(40*Supuestos!$B$12+Supuestos!$B$13))-'PyG 12 meses'!N7</f>
        <v/>
      </c>
    </row>
    <row r="22">
      <c r="A22" s="44" t="n">
        <v>18</v>
      </c>
      <c r="B22" s="63">
        <f>('PyG 12 meses'!N7/18)*((26/(1+Supuestos!$B$7))-('Unit Economics SKU'!$O$19+'Unit Economics SKU'!$V$19+'Unit Economics SKU'!$W$19+'Unit Economics SKU'!$X$19-'Unit Economics SKU'!$Y$19)-(26*Supuestos!$B$12+Supuestos!$B$13))-'PyG 12 meses'!N7</f>
        <v/>
      </c>
      <c r="C22" s="63">
        <f>('PyG 12 meses'!N7/18)*((29/(1+Supuestos!$B$7))-('Unit Economics SKU'!$O$19+'Unit Economics SKU'!$V$19+'Unit Economics SKU'!$W$19+'Unit Economics SKU'!$X$19-'Unit Economics SKU'!$Y$19)-(29*Supuestos!$B$12+Supuestos!$B$13))-'PyG 12 meses'!N7</f>
        <v/>
      </c>
      <c r="D22" s="63">
        <f>('PyG 12 meses'!N7/18)*((32/(1+Supuestos!$B$7))-('Unit Economics SKU'!$O$19+'Unit Economics SKU'!$V$19+'Unit Economics SKU'!$W$19+'Unit Economics SKU'!$X$19-'Unit Economics SKU'!$Y$19)-(32*Supuestos!$B$12+Supuestos!$B$13))-'PyG 12 meses'!N7</f>
        <v/>
      </c>
      <c r="E22" s="63">
        <f>('PyG 12 meses'!N7/18)*((35/(1+Supuestos!$B$7))-('Unit Economics SKU'!$O$19+'Unit Economics SKU'!$V$19+'Unit Economics SKU'!$W$19+'Unit Economics SKU'!$X$19-'Unit Economics SKU'!$Y$19)-(35*Supuestos!$B$12+Supuestos!$B$13))-'PyG 12 meses'!N7</f>
        <v/>
      </c>
      <c r="F22" s="63">
        <f>('PyG 12 meses'!N7/18)*((38/(1+Supuestos!$B$7))-('Unit Economics SKU'!$O$19+'Unit Economics SKU'!$V$19+'Unit Economics SKU'!$W$19+'Unit Economics SKU'!$X$19-'Unit Economics SKU'!$Y$19)-(38*Supuestos!$B$12+Supuestos!$B$13))-'PyG 12 meses'!N7</f>
        <v/>
      </c>
      <c r="G22" s="63">
        <f>('PyG 12 meses'!N7/18)*((40/(1+Supuestos!$B$7))-('Unit Economics SKU'!$O$19+'Unit Economics SKU'!$V$19+'Unit Economics SKU'!$W$19+'Unit Economics SKU'!$X$19-'Unit Economics SKU'!$Y$19)-(40*Supuestos!$B$12+Supuestos!$B$13))-'PyG 12 meses'!N7</f>
        <v/>
      </c>
    </row>
    <row r="23">
      <c r="A23" s="44" t="n">
        <v>20</v>
      </c>
      <c r="B23" s="63">
        <f>('PyG 12 meses'!N7/20)*((26/(1+Supuestos!$B$7))-('Unit Economics SKU'!$O$19+'Unit Economics SKU'!$V$19+'Unit Economics SKU'!$W$19+'Unit Economics SKU'!$X$19-'Unit Economics SKU'!$Y$19)-(26*Supuestos!$B$12+Supuestos!$B$13))-'PyG 12 meses'!N7</f>
        <v/>
      </c>
      <c r="C23" s="63">
        <f>('PyG 12 meses'!N7/20)*((29/(1+Supuestos!$B$7))-('Unit Economics SKU'!$O$19+'Unit Economics SKU'!$V$19+'Unit Economics SKU'!$W$19+'Unit Economics SKU'!$X$19-'Unit Economics SKU'!$Y$19)-(29*Supuestos!$B$12+Supuestos!$B$13))-'PyG 12 meses'!N7</f>
        <v/>
      </c>
      <c r="D23" s="63">
        <f>('PyG 12 meses'!N7/20)*((32/(1+Supuestos!$B$7))-('Unit Economics SKU'!$O$19+'Unit Economics SKU'!$V$19+'Unit Economics SKU'!$W$19+'Unit Economics SKU'!$X$19-'Unit Economics SKU'!$Y$19)-(32*Supuestos!$B$12+Supuestos!$B$13))-'PyG 12 meses'!N7</f>
        <v/>
      </c>
      <c r="E23" s="63">
        <f>('PyG 12 meses'!N7/20)*((35/(1+Supuestos!$B$7))-('Unit Economics SKU'!$O$19+'Unit Economics SKU'!$V$19+'Unit Economics SKU'!$W$19+'Unit Economics SKU'!$X$19-'Unit Economics SKU'!$Y$19)-(35*Supuestos!$B$12+Supuestos!$B$13))-'PyG 12 meses'!N7</f>
        <v/>
      </c>
      <c r="F23" s="63">
        <f>('PyG 12 meses'!N7/20)*((38/(1+Supuestos!$B$7))-('Unit Economics SKU'!$O$19+'Unit Economics SKU'!$V$19+'Unit Economics SKU'!$W$19+'Unit Economics SKU'!$X$19-'Unit Economics SKU'!$Y$19)-(38*Supuestos!$B$12+Supuestos!$B$13))-'PyG 12 meses'!N7</f>
        <v/>
      </c>
      <c r="G23" s="63">
        <f>('PyG 12 meses'!N7/20)*((40/(1+Supuestos!$B$7))-('Unit Economics SKU'!$O$19+'Unit Economics SKU'!$V$19+'Unit Economics SKU'!$W$19+'Unit Economics SKU'!$X$19-'Unit Economics SKU'!$Y$19)-(40*Supuestos!$B$12+Supuestos!$B$13))-'PyG 12 meses'!N7</f>
        <v/>
      </c>
    </row>
  </sheetData>
  <mergeCells count="2">
    <mergeCell ref="A13:F13"/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55" customWidth="1" min="5" max="5"/>
  </cols>
  <sheetData>
    <row r="1">
      <c r="A1" s="1" t="inlineStr">
        <is>
          <t>NOCTA — Escenarios (Pesimista / Base / Optimista)</t>
        </is>
      </c>
    </row>
    <row r="2">
      <c r="A2" s="2" t="inlineStr">
        <is>
          <t>Cambia el selector en Supuestos ('Escenario seleccionado') para recalcular PyG, Caja y Punto muerto con estos supuestos.</t>
        </is>
      </c>
    </row>
    <row r="4">
      <c r="A4" s="28" t="inlineStr">
        <is>
          <t>Parámetro</t>
        </is>
      </c>
      <c r="B4" s="28" t="inlineStr">
        <is>
          <t>Pesimista</t>
        </is>
      </c>
      <c r="C4" s="28" t="inlineStr">
        <is>
          <t>Base</t>
        </is>
      </c>
      <c r="D4" s="28" t="inlineStr">
        <is>
          <t>Optimista</t>
        </is>
      </c>
      <c r="E4" s="28" t="inlineStr">
        <is>
          <t>Nota</t>
        </is>
      </c>
    </row>
    <row r="5">
      <c r="A5" s="29" t="inlineStr">
        <is>
          <t>CPA mes 1 (€/pedido)</t>
        </is>
      </c>
      <c r="B5" s="31" t="n">
        <v>22</v>
      </c>
      <c r="C5" s="31" t="n">
        <v>18</v>
      </c>
      <c r="D5" s="31" t="n">
        <v>15</v>
      </c>
      <c r="E5" s="39" t="inlineStr">
        <is>
          <t>Pesimista: peor eficiencia de creatividades. Optimista: mejor product-market fit / UGC.</t>
        </is>
      </c>
    </row>
    <row r="6">
      <c r="A6" s="29" t="inlineStr">
        <is>
          <t>CPA mes 6+ / suelo (€/pedido)</t>
        </is>
      </c>
      <c r="B6" s="31" t="n">
        <v>15</v>
      </c>
      <c r="C6" s="31" t="n">
        <v>11</v>
      </c>
      <c r="D6" s="31" t="n">
        <v>9</v>
      </c>
      <c r="E6" s="39" t="inlineStr">
        <is>
          <t>Suelo de CPA alcanzado tras optimización de campañas.</t>
        </is>
      </c>
    </row>
    <row r="7">
      <c r="A7" s="29" t="inlineStr">
        <is>
          <t>Multiplicador de AOV (x)</t>
        </is>
      </c>
      <c r="B7" s="64" t="n">
        <v>0.92</v>
      </c>
      <c r="C7" s="64" t="n">
        <v>1</v>
      </c>
      <c r="D7" s="64" t="n">
        <v>1.1</v>
      </c>
      <c r="E7" s="39" t="inlineStr">
        <is>
          <t>Pesimista: más descuentos/menor mix de bundles. Optimista: mayor adopción de bundles.</t>
        </is>
      </c>
    </row>
    <row r="8">
      <c r="A8" s="29" t="inlineStr">
        <is>
          <t>Crecimiento mensual de Ads (%)</t>
        </is>
      </c>
      <c r="B8" s="52">
        <f>Supuestos!$B$49</f>
        <v/>
      </c>
      <c r="C8" s="52">
        <f>Supuestos!$B$48</f>
        <v/>
      </c>
      <c r="D8" s="52">
        <f>Supuestos!$B$50</f>
        <v/>
      </c>
      <c r="E8" s="39" t="inlineStr">
        <is>
          <t>Enlazado a Supuestos (Conservador/Base/Agresivo).</t>
        </is>
      </c>
    </row>
    <row r="9">
      <c r="A9" s="29" t="inlineStr">
        <is>
          <t>Techo mensual de Ads (€)</t>
        </is>
      </c>
      <c r="B9" s="47">
        <f>Supuestos!$B$51</f>
        <v/>
      </c>
      <c r="C9" s="47">
        <f>Supuestos!$B$52</f>
        <v/>
      </c>
      <c r="D9" s="47">
        <f>Supuestos!$B$53</f>
        <v/>
      </c>
      <c r="E9" s="39" t="inlineStr">
        <is>
          <t>Enlazado a Supuestos (Conservador/Base/Agresivo).</t>
        </is>
      </c>
    </row>
    <row r="10">
      <c r="A10" s="29" t="inlineStr">
        <is>
          <t>Tasa de suscripción (%)</t>
        </is>
      </c>
      <c r="B10" s="38" t="n">
        <v>0.1</v>
      </c>
      <c r="C10" s="38" t="n">
        <v>0.15</v>
      </c>
      <c r="D10" s="38" t="n">
        <v>0.2</v>
      </c>
      <c r="E10" s="39" t="inlineStr">
        <is>
          <t>Pesimista: menor adopción de suscripción. Optimista: mejor oferta/onboarding de suscripción.</t>
        </is>
      </c>
    </row>
    <row r="11">
      <c r="A11" s="29" t="inlineStr">
        <is>
          <t>Repetición de compra a 90 días (%)</t>
        </is>
      </c>
      <c r="B11" s="38" t="n">
        <v>0.2</v>
      </c>
      <c r="C11" s="38" t="n">
        <v>0.25</v>
      </c>
      <c r="D11" s="38" t="n">
        <v>0.3</v>
      </c>
      <c r="E11" s="39" t="inlineStr">
        <is>
          <t>Pesimista/optimista sobre el ratio de recompra de no-suscriptores.</t>
        </is>
      </c>
    </row>
    <row r="13">
      <c r="A13" s="43" t="inlineStr">
        <is>
          <t>Resultados clave por escenario (recalcula al cambiar el selector en Supuestos)</t>
        </is>
      </c>
    </row>
    <row r="14">
      <c r="A14" s="28" t="inlineStr">
        <is>
          <t>Indicador (escenario activo)</t>
        </is>
      </c>
      <c r="B14" s="28" t="inlineStr">
        <is>
          <t>Valor</t>
        </is>
      </c>
      <c r="C14" s="28" t="inlineStr"/>
      <c r="D14" s="28" t="inlineStr"/>
      <c r="E14" s="28" t="inlineStr"/>
    </row>
    <row r="15">
      <c r="A15" s="29" t="inlineStr">
        <is>
          <t>Escenario activo (1/2/3)</t>
        </is>
      </c>
      <c r="B15" s="65">
        <f>Supuestos!$B$115</f>
        <v/>
      </c>
      <c r="C15" s="66" t="n"/>
      <c r="D15" s="66" t="n"/>
      <c r="E15" s="66" t="n"/>
    </row>
    <row r="16">
      <c r="A16" s="29" t="inlineStr">
        <is>
          <t>Ingresos netos de IVA, mes 12 (€)</t>
        </is>
      </c>
      <c r="B16" s="67">
        <f>'PyG 12 meses'!N16</f>
        <v/>
      </c>
      <c r="C16" s="66" t="n"/>
      <c r="D16" s="66" t="n"/>
      <c r="E16" s="66" t="n"/>
    </row>
    <row r="17">
      <c r="A17" s="29" t="inlineStr">
        <is>
          <t>EBITDA, mes 12 (€)</t>
        </is>
      </c>
      <c r="B17" s="67">
        <f>'PyG 12 meses'!N39</f>
        <v/>
      </c>
      <c r="C17" s="66" t="n"/>
      <c r="D17" s="66" t="n"/>
      <c r="E17" s="66" t="n"/>
    </row>
    <row r="18">
      <c r="A18" s="29" t="inlineStr">
        <is>
          <t>EBITDA acumulado, año 1 (€)</t>
        </is>
      </c>
      <c r="B18" s="67">
        <f>'PyG 12 meses'!N41</f>
        <v/>
      </c>
      <c r="C18" s="66" t="n"/>
      <c r="D18" s="66" t="n"/>
      <c r="E18" s="66" t="n"/>
    </row>
    <row r="19">
      <c r="A19" s="29" t="inlineStr">
        <is>
          <t>Caja final, mes 12 (€)</t>
        </is>
      </c>
      <c r="B19" s="67">
        <f>Caja!O35</f>
        <v/>
      </c>
      <c r="C19" s="66" t="n"/>
      <c r="D19" s="66" t="n"/>
      <c r="E19" s="66" t="n"/>
    </row>
    <row r="20">
      <c r="A20" s="29" t="inlineStr">
        <is>
          <t>Caja mínima del año (€)</t>
        </is>
      </c>
      <c r="B20" s="67">
        <f>Caja!B37</f>
        <v/>
      </c>
      <c r="C20" s="66" t="n"/>
      <c r="D20" s="66" t="n"/>
      <c r="E20" s="66" t="n"/>
    </row>
  </sheetData>
  <mergeCells count="2">
    <mergeCell ref="A1:E1"/>
    <mergeCell ref="A13:E13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2026-09-07T02:24:51Z</dcterms:created>
  <dcterms:modified xsi:type="dcterms:W3CDTF">2026-09-07T02:24:51Z</dcterms:modified>
</cp:coreProperties>
</file>